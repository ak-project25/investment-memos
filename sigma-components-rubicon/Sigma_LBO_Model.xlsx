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dityakumbhar/Desktop/"/>
    </mc:Choice>
  </mc:AlternateContent>
  <xr:revisionPtr revIDLastSave="0" documentId="8_{8FEB093B-2630-B74A-8A4D-94C0D57705C8}" xr6:coauthVersionLast="47" xr6:coauthVersionMax="47" xr10:uidLastSave="{00000000-0000-0000-0000-000000000000}"/>
  <bookViews>
    <workbookView xWindow="-21800" yWindow="-21600" windowWidth="51200" windowHeight="21600" tabRatio="500" xr2:uid="{00000000-000D-0000-FFFF-FFFF00000000}"/>
  </bookViews>
  <sheets>
    <sheet name="Cover &amp; Assumptions" sheetId="1" r:id="rId1"/>
    <sheet name="Model" sheetId="2" r:id="rId2"/>
    <sheet name="Sheet1" sheetId="3" r:id="rId3"/>
  </sheets>
  <definedNames>
    <definedName name="_xlnm.Print_Area" localSheetId="0">'Cover &amp; Assumptions'!$A$1:$K$70</definedName>
    <definedName name="_xlnm.Print_Area" localSheetId="1">Model!$A$52:$I$98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50" i="3" l="1"/>
  <c r="Q48" i="3"/>
  <c r="Q47" i="3"/>
  <c r="Q46" i="3"/>
  <c r="Q45" i="3"/>
  <c r="Q44" i="3"/>
  <c r="Q40" i="3"/>
  <c r="V38" i="3"/>
  <c r="V37" i="3"/>
  <c r="V34" i="3"/>
  <c r="U38" i="3"/>
  <c r="U37" i="3"/>
  <c r="U34" i="3"/>
  <c r="T38" i="3"/>
  <c r="T37" i="3"/>
  <c r="T34" i="3"/>
  <c r="S38" i="3"/>
  <c r="S37" i="3"/>
  <c r="S34" i="3"/>
  <c r="R38" i="3"/>
  <c r="R37" i="3"/>
  <c r="R20" i="3"/>
  <c r="R34" i="3"/>
  <c r="Q28" i="3"/>
  <c r="Q19" i="3"/>
  <c r="Q36" i="3"/>
  <c r="V35" i="3"/>
  <c r="U35" i="3"/>
  <c r="T35" i="3"/>
  <c r="S35" i="3"/>
  <c r="R35" i="3"/>
  <c r="Q35" i="3"/>
  <c r="Q34" i="3"/>
  <c r="R26" i="3"/>
  <c r="S26" i="3"/>
  <c r="T26" i="3"/>
  <c r="U26" i="3"/>
  <c r="V26" i="3"/>
  <c r="Q26" i="3"/>
  <c r="S27" i="3"/>
  <c r="T27" i="3"/>
  <c r="U27" i="3"/>
  <c r="V27" i="3"/>
  <c r="R27" i="3"/>
  <c r="Q27" i="3"/>
  <c r="R25" i="3"/>
  <c r="S25" i="3"/>
  <c r="T25" i="3"/>
  <c r="U25" i="3"/>
  <c r="V25" i="3"/>
  <c r="Q25" i="3"/>
  <c r="Q21" i="3"/>
  <c r="Q20" i="3"/>
  <c r="V14" i="3"/>
  <c r="U14" i="3"/>
  <c r="T14" i="3"/>
  <c r="S14" i="3"/>
  <c r="R14" i="3"/>
  <c r="Q14" i="3"/>
  <c r="D16" i="2"/>
  <c r="Q13" i="3"/>
  <c r="U4" i="3"/>
  <c r="U3" i="3"/>
  <c r="Q6" i="3"/>
  <c r="Q5" i="3"/>
  <c r="Q4" i="3"/>
  <c r="Q3" i="3"/>
  <c r="C42" i="3"/>
  <c r="C27" i="3"/>
  <c r="C24" i="3"/>
  <c r="C19" i="3"/>
  <c r="C56" i="2"/>
  <c r="C47" i="2"/>
  <c r="H36" i="2"/>
  <c r="G36" i="2"/>
  <c r="F36" i="2"/>
  <c r="E36" i="2"/>
  <c r="D36" i="2"/>
  <c r="C36" i="2"/>
  <c r="C35" i="2"/>
  <c r="C29" i="2"/>
  <c r="C15" i="2"/>
  <c r="C7" i="2"/>
  <c r="G6" i="2"/>
  <c r="G5" i="2"/>
  <c r="C5" i="2"/>
  <c r="C58" i="1"/>
  <c r="C43" i="1"/>
  <c r="C40" i="1"/>
  <c r="C35" i="1"/>
  <c r="R36" i="3" l="1"/>
  <c r="Q29" i="3"/>
  <c r="Q30" i="3" s="1"/>
  <c r="Q22" i="3"/>
  <c r="S36" i="3"/>
  <c r="Q16" i="3"/>
  <c r="Q15" i="3"/>
  <c r="Q17" i="3" s="1"/>
  <c r="R13" i="3"/>
  <c r="U5" i="3"/>
  <c r="U6" i="3" s="1"/>
  <c r="C33" i="3"/>
  <c r="C37" i="3"/>
  <c r="C31" i="3"/>
  <c r="C20" i="3"/>
  <c r="C38" i="2"/>
  <c r="D15" i="2"/>
  <c r="C36" i="1"/>
  <c r="D35" i="2"/>
  <c r="C27" i="2"/>
  <c r="C18" i="2"/>
  <c r="C53" i="1"/>
  <c r="C49" i="1"/>
  <c r="C6" i="2" s="1"/>
  <c r="C8" i="2" s="1"/>
  <c r="G7" i="2" s="1"/>
  <c r="C47" i="1"/>
  <c r="R19" i="3" l="1"/>
  <c r="R21" i="3" s="1"/>
  <c r="R29" i="3" s="1"/>
  <c r="R28" i="3"/>
  <c r="S19" i="3"/>
  <c r="S20" i="3" s="1"/>
  <c r="S21" i="3" s="1"/>
  <c r="S29" i="3" s="1"/>
  <c r="S30" i="3" s="1"/>
  <c r="S28" i="3"/>
  <c r="S13" i="3"/>
  <c r="R16" i="3"/>
  <c r="R15" i="3"/>
  <c r="R17" i="3" s="1"/>
  <c r="E15" i="2"/>
  <c r="D28" i="2"/>
  <c r="D27" i="2"/>
  <c r="D18" i="2"/>
  <c r="E16" i="2"/>
  <c r="F16" i="2"/>
  <c r="H16" i="2"/>
  <c r="C16" i="2"/>
  <c r="C17" i="2" s="1"/>
  <c r="G16" i="2"/>
  <c r="D37" i="2"/>
  <c r="D20" i="2" s="1"/>
  <c r="D29" i="2" s="1"/>
  <c r="G9" i="2"/>
  <c r="G8" i="2"/>
  <c r="G10" i="2" s="1"/>
  <c r="R22" i="3" l="1"/>
  <c r="R30" i="3"/>
  <c r="S22" i="3"/>
  <c r="T36" i="3"/>
  <c r="S15" i="3"/>
  <c r="T13" i="3"/>
  <c r="S16" i="3"/>
  <c r="E18" i="2"/>
  <c r="F15" i="2"/>
  <c r="E27" i="2"/>
  <c r="E17" i="2"/>
  <c r="E28" i="2"/>
  <c r="C26" i="2"/>
  <c r="C19" i="2"/>
  <c r="C21" i="2" s="1"/>
  <c r="C53" i="2"/>
  <c r="C61" i="2" s="1"/>
  <c r="C67" i="2"/>
  <c r="D17" i="2"/>
  <c r="T28" i="3" l="1"/>
  <c r="T19" i="3"/>
  <c r="T20" i="3" s="1"/>
  <c r="U36" i="3"/>
  <c r="U13" i="3"/>
  <c r="T15" i="3"/>
  <c r="T17" i="3" s="1"/>
  <c r="T16" i="3"/>
  <c r="S17" i="3"/>
  <c r="G15" i="2"/>
  <c r="F27" i="2"/>
  <c r="F28" i="2"/>
  <c r="F17" i="2"/>
  <c r="F18" i="2"/>
  <c r="E19" i="2"/>
  <c r="E26" i="2"/>
  <c r="C22" i="2"/>
  <c r="C30" i="2" s="1"/>
  <c r="C31" i="2" s="1"/>
  <c r="D19" i="2"/>
  <c r="D21" i="2" s="1"/>
  <c r="D26" i="2"/>
  <c r="T21" i="3" l="1"/>
  <c r="T29" i="3" s="1"/>
  <c r="T30" i="3" s="1"/>
  <c r="U28" i="3"/>
  <c r="U19" i="3"/>
  <c r="U20" i="3" s="1"/>
  <c r="V36" i="3"/>
  <c r="V13" i="3"/>
  <c r="U15" i="3"/>
  <c r="U16" i="3"/>
  <c r="G17" i="2"/>
  <c r="G18" i="2"/>
  <c r="G27" i="2"/>
  <c r="G28" i="2"/>
  <c r="H15" i="2"/>
  <c r="F19" i="2"/>
  <c r="F26" i="2"/>
  <c r="D22" i="2"/>
  <c r="D30" i="2" s="1"/>
  <c r="D31" i="2" s="1"/>
  <c r="D39" i="2" s="1"/>
  <c r="D38" i="2" s="1"/>
  <c r="E35" i="2" s="1"/>
  <c r="C23" i="2"/>
  <c r="U21" i="3" l="1"/>
  <c r="U29" i="3" s="1"/>
  <c r="U30" i="3" s="1"/>
  <c r="T22" i="3"/>
  <c r="V28" i="3"/>
  <c r="V19" i="3"/>
  <c r="V20" i="3" s="1"/>
  <c r="V15" i="3"/>
  <c r="V16" i="3"/>
  <c r="U17" i="3"/>
  <c r="G26" i="2"/>
  <c r="G19" i="2"/>
  <c r="H17" i="2"/>
  <c r="H18" i="2"/>
  <c r="H28" i="2"/>
  <c r="H27" i="2"/>
  <c r="D23" i="2"/>
  <c r="E37" i="2"/>
  <c r="E20" i="2" s="1"/>
  <c r="V21" i="3" l="1"/>
  <c r="V29" i="3" s="1"/>
  <c r="V30" i="3" s="1"/>
  <c r="U22" i="3"/>
  <c r="V17" i="3"/>
  <c r="H26" i="2"/>
  <c r="C46" i="2"/>
  <c r="C48" i="2" s="1"/>
  <c r="H19" i="2"/>
  <c r="C68" i="2"/>
  <c r="E29" i="2"/>
  <c r="E21" i="2"/>
  <c r="V22" i="3" l="1"/>
  <c r="E22" i="2"/>
  <c r="E30" i="2" s="1"/>
  <c r="E31" i="2" s="1"/>
  <c r="E39" i="2" s="1"/>
  <c r="E38" i="2" s="1"/>
  <c r="F35" i="2" s="1"/>
  <c r="F37" i="2" l="1"/>
  <c r="F20" i="2" s="1"/>
  <c r="E23" i="2"/>
  <c r="F21" i="2" l="1"/>
  <c r="F29" i="2"/>
  <c r="F22" i="2" l="1"/>
  <c r="F30" i="2" s="1"/>
  <c r="F31" i="2" s="1"/>
  <c r="F39" i="2" s="1"/>
  <c r="F38" i="2" s="1"/>
  <c r="G35" i="2" s="1"/>
  <c r="G37" i="2" l="1"/>
  <c r="G20" i="2" s="1"/>
  <c r="F23" i="2"/>
  <c r="G29" i="2" l="1"/>
  <c r="G21" i="2"/>
  <c r="G22" i="2" l="1"/>
  <c r="G30" i="2" s="1"/>
  <c r="G31" i="2" s="1"/>
  <c r="G39" i="2" s="1"/>
  <c r="G38" i="2" s="1"/>
  <c r="H35" i="2" s="1"/>
  <c r="H37" i="2" l="1"/>
  <c r="H20" i="2" s="1"/>
  <c r="G23" i="2"/>
  <c r="H21" i="2" l="1"/>
  <c r="H29" i="2"/>
  <c r="H22" i="2" l="1"/>
  <c r="H30" i="2" s="1"/>
  <c r="H31" i="2" s="1"/>
  <c r="H39" i="2" s="1"/>
  <c r="H38" i="2" s="1"/>
  <c r="C41" i="2" s="1"/>
  <c r="H23" i="2" l="1"/>
  <c r="C69" i="2"/>
  <c r="C49" i="2"/>
  <c r="C50" i="2" s="1"/>
  <c r="C54" i="2" s="1"/>
  <c r="C85" i="2" l="1"/>
  <c r="G83" i="2"/>
  <c r="E83" i="2"/>
  <c r="G82" i="2"/>
  <c r="E82" i="2"/>
  <c r="G81" i="2"/>
  <c r="D81" i="2"/>
  <c r="G85" i="2"/>
  <c r="F85" i="2"/>
  <c r="E85" i="2"/>
  <c r="D85" i="2"/>
  <c r="G84" i="2"/>
  <c r="F84" i="2"/>
  <c r="E84" i="2"/>
  <c r="D84" i="2"/>
  <c r="C84" i="2"/>
  <c r="F83" i="2"/>
  <c r="D83" i="2"/>
  <c r="C83" i="2"/>
  <c r="F82" i="2"/>
  <c r="D82" i="2"/>
  <c r="C82" i="2"/>
  <c r="F81" i="2"/>
  <c r="E81" i="2"/>
  <c r="C81" i="2"/>
  <c r="C73" i="2"/>
  <c r="D73" i="2"/>
  <c r="E73" i="2"/>
  <c r="F73" i="2"/>
  <c r="C74" i="2"/>
  <c r="E74" i="2"/>
  <c r="F74" i="2"/>
  <c r="G74" i="2"/>
  <c r="D75" i="2"/>
  <c r="F75" i="2"/>
  <c r="G75" i="2"/>
  <c r="G73" i="2"/>
  <c r="D74" i="2"/>
  <c r="C75" i="2"/>
  <c r="E75" i="2"/>
  <c r="C76" i="2"/>
  <c r="D76" i="2"/>
  <c r="E76" i="2"/>
  <c r="F76" i="2"/>
  <c r="G76" i="2"/>
  <c r="C77" i="2"/>
  <c r="E77" i="2"/>
  <c r="G77" i="2"/>
  <c r="D77" i="2"/>
  <c r="F77" i="2"/>
  <c r="C55" i="2"/>
  <c r="C57" i="2" s="1"/>
  <c r="H61" i="2"/>
  <c r="C62" i="2" s="1"/>
</calcChain>
</file>

<file path=xl/sharedStrings.xml><?xml version="1.0" encoding="utf-8"?>
<sst xmlns="http://schemas.openxmlformats.org/spreadsheetml/2006/main" count="388" uniqueCount="224">
  <si>
    <t>Illustrative secondary buyout · Anchored on FactSet Private Company + Companies House (CRN 10010945)</t>
  </si>
  <si>
    <t>Prepared by A. Kumbhar · For discussion only · NOT a deal indication</t>
  </si>
  <si>
    <t>•  Screening model. Entry anchors now sourced from FactSet Private Company + Companies House.</t>
  </si>
  <si>
    <t>•  VERIFIED (green) = traced to FactSet Private Company or Companies House FY May 2025.</t>
  </si>
  <si>
    <t>•  CALCULABLE (blue) = derived by formula from verified inputs.</t>
  </si>
  <si>
    <t>SOURCING LEGEND</t>
  </si>
  <si>
    <t>VERIFIED</t>
  </si>
  <si>
    <t>FactSet Private Company / Companies House FY May 2025, CRN 10010945</t>
  </si>
  <si>
    <t>CALCULABLE</t>
  </si>
  <si>
    <t>Arithmetic from verified inputs</t>
  </si>
  <si>
    <t>ASSUMPTION</t>
  </si>
  <si>
    <t>FLAGGED</t>
  </si>
  <si>
    <t>Colour: blue = input you can change · black = formula · green = link from this workbook</t>
  </si>
  <si>
    <t>£m / %</t>
  </si>
  <si>
    <t>FY19</t>
  </si>
  <si>
    <t>FY20</t>
  </si>
  <si>
    <t>FY21</t>
  </si>
  <si>
    <t>FY22</t>
  </si>
  <si>
    <t>FY23</t>
  </si>
  <si>
    <t>FY24</t>
  </si>
  <si>
    <t>FY25</t>
  </si>
  <si>
    <t>EBITDA (£m)</t>
  </si>
  <si>
    <t>EBITDA margin</t>
  </si>
  <si>
    <t>Source: FactSet Private Company, Sigma Components Holdings (CONSOL). Ran at 18.5% pre-COVID (FY19); current 14.4% is recovery, not a heroic projection. Underpins the value-creation margin lever.</t>
  </si>
  <si>
    <t>FY25 Revenue (£m)</t>
  </si>
  <si>
    <t>FactSet Private Co (CONSOL); CH P&amp;L page 14</t>
  </si>
  <si>
    <t>FY25 Gross profit (£m)</t>
  </si>
  <si>
    <t>Companies House consolidated P&amp;L, page 14</t>
  </si>
  <si>
    <t>FY25 Operating profit / EBIT (£m)</t>
  </si>
  <si>
    <t>FactSet Private Co (CONSOL) FY May 2025</t>
  </si>
  <si>
    <t>FY25 D&amp;A (£m)</t>
  </si>
  <si>
    <t>FY25 EBITDA (£m)</t>
  </si>
  <si>
    <t>FY25 EBITDA margin</t>
  </si>
  <si>
    <t>Derived (≈14.4%, matches FactSet)</t>
  </si>
  <si>
    <t>Senior bank debt (£m)</t>
  </si>
  <si>
    <t>CH Note 20 + charge filing 5-Jun-25 (FactSet borrowings £15.8m)</t>
  </si>
  <si>
    <t>Finance leases (£m)</t>
  </si>
  <si>
    <t>Companies House Note 20</t>
  </si>
  <si>
    <t>Cash (£m)</t>
  </si>
  <si>
    <t>Net senior debt (£m)</t>
  </si>
  <si>
    <t>Senior + leases - cash</t>
  </si>
  <si>
    <t>Preference principal (£m)</t>
  </si>
  <si>
    <t>Accrued PIK interest (£m)</t>
  </si>
  <si>
    <t>Total preference stack (£m)</t>
  </si>
  <si>
    <t>Principal + accrued PIK</t>
  </si>
  <si>
    <t>Entry EV / EBITDA multiple (x)</t>
  </si>
  <si>
    <t>Comp-supported: ~10x listed through-cycle median less ~30pct size/illiquidity (see Comp Analysis)</t>
  </si>
  <si>
    <t>Implied Entry Enterprise Value (£m)</t>
  </si>
  <si>
    <t>EBITDA × entry multiple (informational)</t>
  </si>
  <si>
    <t>Preference settlement haircut (%)</t>
  </si>
  <si>
    <t>Preference settlement amount (£m)</t>
  </si>
  <si>
    <t>Total pref × (1 - haircut)</t>
  </si>
  <si>
    <t>Transaction fees (£m)</t>
  </si>
  <si>
    <t>Illustrative</t>
  </si>
  <si>
    <t>New senior debt at entry (£m)</t>
  </si>
  <si>
    <t>Illustrative; not based on debt market sounding</t>
  </si>
  <si>
    <t>Management rollover (£m)</t>
  </si>
  <si>
    <t>Entry leverage (x EBITDA)</t>
  </si>
  <si>
    <t>New senior debt / entry EBITDA</t>
  </si>
  <si>
    <t>OPERATING ASSUMPTIONS</t>
  </si>
  <si>
    <t>Revenue growth p.a. (%)</t>
  </si>
  <si>
    <t>Illustrative; commercial aero recovery supports mid-single-digit</t>
  </si>
  <si>
    <t>Recovery toward FY19 level (18.5%); ramped linearly from entry</t>
  </si>
  <si>
    <t>D&amp;A % of revenue</t>
  </si>
  <si>
    <t>From sourced D&amp;A</t>
  </si>
  <si>
    <t>Capex % of revenue (%)</t>
  </si>
  <si>
    <t>CH cash flow stmt: tangible asset acquisitions £965k / revenue £45,083k (Note 14)</t>
  </si>
  <si>
    <t>Actual FY24-&gt;FY25 NWC move £1.30m / revenue move £3.17m (CH Notes 16/17/19)</t>
  </si>
  <si>
    <t>Cash tax rate (%)</t>
  </si>
  <si>
    <t>UK headline; pre any group relief</t>
  </si>
  <si>
    <t>Senior debt interest rate (%)</t>
  </si>
  <si>
    <t>Margin 3.75pct over SOFR/SONIA sourced (Note 20); base rate assumed ~4.75pct</t>
  </si>
  <si>
    <t>Cash sweep (% of FCF)</t>
  </si>
  <si>
    <t>100% sweep above minimum cash</t>
  </si>
  <si>
    <t>Minimum cash (£m)</t>
  </si>
  <si>
    <t>Operating cash floor</t>
  </si>
  <si>
    <t>EXIT ASSUMPTIONS</t>
  </si>
  <si>
    <t>Hold period (years)</t>
  </si>
  <si>
    <t>Exit EV / EBITDA multiple (x)</t>
  </si>
  <si>
    <t>Comp-supported range 6.5-7.5x; modelled at top of range, flat-to-entry plus modest re-rating</t>
  </si>
  <si>
    <t>USES OF FUNDS (£m)</t>
  </si>
  <si>
    <t>SOURCES OF FUNDS (£m)</t>
  </si>
  <si>
    <t>Take out existing senior debt</t>
  </si>
  <si>
    <t>Settle preference stack (after haircut)</t>
  </si>
  <si>
    <t>Transaction fees</t>
  </si>
  <si>
    <t>TOTAL USES</t>
  </si>
  <si>
    <t>TOTAL SOURCES</t>
  </si>
  <si>
    <t>Check: Sources = Uses</t>
  </si>
  <si>
    <t>Sponsor equity is the plug. Pref settlement (haircut on Cover &amp; Assumptions) is the largest single use.</t>
  </si>
  <si>
    <t>£m</t>
  </si>
  <si>
    <t>FY25A
(Entry)</t>
  </si>
  <si>
    <t>Year 1</t>
  </si>
  <si>
    <t>Year 2</t>
  </si>
  <si>
    <t>Year 3</t>
  </si>
  <si>
    <t>Year 4</t>
  </si>
  <si>
    <t>Year 5</t>
  </si>
  <si>
    <t>Revenue</t>
  </si>
  <si>
    <t>EBITDA</t>
  </si>
  <si>
    <t>Depreciation &amp; amortisation</t>
  </si>
  <si>
    <t>EBIT</t>
  </si>
  <si>
    <t>Cash interest (senior)</t>
  </si>
  <si>
    <t>Profit before tax</t>
  </si>
  <si>
    <t>Cash tax</t>
  </si>
  <si>
    <t>Net profit</t>
  </si>
  <si>
    <t>FREE CASH FLOW BUILD</t>
  </si>
  <si>
    <t>Less: capex</t>
  </si>
  <si>
    <t>Less: change in working capital</t>
  </si>
  <si>
    <t>Less: cash interest</t>
  </si>
  <si>
    <t>Less: cash tax</t>
  </si>
  <si>
    <t>Free cash flow (pre-debt repayment)</t>
  </si>
  <si>
    <t>Interest rate</t>
  </si>
  <si>
    <t>Cash interest</t>
  </si>
  <si>
    <t>Closing senior debt</t>
  </si>
  <si>
    <t>Cash sweep (repayment)</t>
  </si>
  <si>
    <t>Net senior debt at exit (£m)</t>
  </si>
  <si>
    <t>(closing Y5 senior less minimum cash; pref settled at entry)</t>
  </si>
  <si>
    <t>Year 5 EBITDA</t>
  </si>
  <si>
    <t>Exit EV / EBITDA multiple</t>
  </si>
  <si>
    <t>Exit Enterprise Value</t>
  </si>
  <si>
    <t>Less: net senior debt at exit</t>
  </si>
  <si>
    <t>Exit equity value</t>
  </si>
  <si>
    <t>RETURNS TO SPONSOR</t>
  </si>
  <si>
    <t>Sponsor equity invested at entry</t>
  </si>
  <si>
    <t>Sponsor equity at exit</t>
  </si>
  <si>
    <t>MOIC</t>
  </si>
  <si>
    <t>IRR (single in / single out)</t>
  </si>
  <si>
    <t>CASH-FLOW CROSS-CHECK</t>
  </si>
  <si>
    <t>Year</t>
  </si>
  <si>
    <t>0</t>
  </si>
  <si>
    <t>1</t>
  </si>
  <si>
    <t>2</t>
  </si>
  <si>
    <t>3</t>
  </si>
  <si>
    <t>4</t>
  </si>
  <si>
    <t>5</t>
  </si>
  <si>
    <t>Sponsor cash flow (£m)</t>
  </si>
  <si>
    <t>IRR (Excel, on cash flows)</t>
  </si>
  <si>
    <t>Cross-check against the closed-form IRR above</t>
  </si>
  <si>
    <t>Every output here is the result of the assumptions on the Cover &amp; Assumptions tab. Not a forecast or a deal indication.</t>
  </si>
  <si>
    <t>Simplification: exit equity recomputed per cell holding base-case Y5 net debt constant. Directional, not a full re-solve.</t>
  </si>
  <si>
    <t>Entry sponsor equity (£m)</t>
  </si>
  <si>
    <t>Base Y5 EBITDA (£m)</t>
  </si>
  <si>
    <t>Base Y5 net debt (£m)</t>
  </si>
  <si>
    <t>Exit x \ Haircut</t>
  </si>
  <si>
    <t>Growth \ Exit x</t>
  </si>
  <si>
    <t>Table 1 isolates the two biggest swing factors: pref haircut (a pure assumption) and exit multiple.</t>
  </si>
  <si>
    <t>SIGMA COMPONENTS -LBO MODEL</t>
  </si>
  <si>
    <t>SOURCES &amp; USES -illustrative entry structure</t>
  </si>
  <si>
    <t>OPERATING MODEL -5-year projection</t>
  </si>
  <si>
    <t>Interest charged on opening balance -no circular reference. 100% of FCF sweeps the facility before cash builds.</t>
  </si>
  <si>
    <t>RETURNS -equity bridge</t>
  </si>
  <si>
    <t>EXIT (YEAR 5) -ILLUSTRATIVE</t>
  </si>
  <si>
    <t>SENSITIVITY -illustrative</t>
  </si>
  <si>
    <t>TABLE 1 -MOIC: Exit multiple (rows) × Pref haircut (cols)</t>
  </si>
  <si>
    <t>TABLE 2 -IRR: Revenue growth (rows) × Exit multiple (cols)</t>
  </si>
  <si>
    <t>SIGMA COMPONENTS HOLDINGS -LBO MODEL</t>
  </si>
  <si>
    <t>•  FLAGGED (purple) = not yet fully sourced -confirm before relying on it.</t>
  </si>
  <si>
    <t>•  Biggest swing factor remains the preference settlement haircut -a pure assumption.</t>
  </si>
  <si>
    <t>Modelling choice -illustrative, not a fact or deal indication</t>
  </si>
  <si>
    <t>Not yet fully sourced -confirm before relying on it</t>
  </si>
  <si>
    <t>EBITDA MARGIN HISTORY -supports the margin-recovery thesis</t>
  </si>
  <si>
    <t>ASSUMPTIONS -every driver in one place</t>
  </si>
  <si>
    <t>ENTRY ANCHORS -FactSet Private Company + Companies House FY May 2025</t>
  </si>
  <si>
    <t>FactSet Private Co (CONSOL) FY May 2025 -was estimate, now sourced</t>
  </si>
  <si>
    <t>EBIT + D&amp;A (both sourced) -reconciles to FactSet EBITDA £6.487m</t>
  </si>
  <si>
    <t>Companies House Note 22 -12pct coupon, repayable 31 Dec 2026 per Note 20</t>
  </si>
  <si>
    <t>Companies House Note 19 -accrued pref interest £48.954m</t>
  </si>
  <si>
    <t>TRANSACTION ASSUMPTIONS -ALL ILLUSTRATIVE, NOT DEAL INDICATIONS</t>
  </si>
  <si>
    <t>KEY ASSUMPTION -no signal from Silverfleet; pure modelling</t>
  </si>
  <si>
    <t>EBITDA margin -exit target (%)</t>
  </si>
  <si>
    <t>Working capital -% of revenue change</t>
  </si>
  <si>
    <t>ASSUMPTIONS &amp; KEY CAVEATS</t>
  </si>
  <si>
    <t xml:space="preserve">•  Every input is colour-coded and tagged. </t>
  </si>
  <si>
    <t>•  ASSUMPTION (amber) = modelling choice, returns rests on these</t>
  </si>
  <si>
    <t>Acquisition debt</t>
  </si>
  <si>
    <t>Mngmnt rollover</t>
  </si>
  <si>
    <t>Rubicon equity</t>
  </si>
  <si>
    <t>Rubicon Equity</t>
  </si>
  <si>
    <t>USES</t>
  </si>
  <si>
    <t>Take out bank debt</t>
  </si>
  <si>
    <t>Pref settlement after haircut</t>
  </si>
  <si>
    <t>Total</t>
  </si>
  <si>
    <t>SOURCES</t>
  </si>
  <si>
    <t>Mngmnt roll</t>
  </si>
  <si>
    <t>USES = SOURCES</t>
  </si>
  <si>
    <t>OPERATING MODEL</t>
  </si>
  <si>
    <t xml:space="preserve">ENTRY </t>
  </si>
  <si>
    <t>Y1</t>
  </si>
  <si>
    <t>Y2</t>
  </si>
  <si>
    <t>Y3</t>
  </si>
  <si>
    <t>Y4</t>
  </si>
  <si>
    <t>Y5</t>
  </si>
  <si>
    <t>REVENUE</t>
  </si>
  <si>
    <t>EBITDA MARGIN</t>
  </si>
  <si>
    <t xml:space="preserve">EBITDA </t>
  </si>
  <si>
    <t>D&amp;A</t>
  </si>
  <si>
    <t>Cash Interest</t>
  </si>
  <si>
    <t>EBT (profit befor tax)</t>
  </si>
  <si>
    <t>Cash Tax</t>
  </si>
  <si>
    <t>Net Profit</t>
  </si>
  <si>
    <t>Free Cash Flow FCF</t>
  </si>
  <si>
    <t>Less Capex</t>
  </si>
  <si>
    <t>Less NWC</t>
  </si>
  <si>
    <t>Less Cash Interest</t>
  </si>
  <si>
    <t>Less Cash tax</t>
  </si>
  <si>
    <t>FCF (pre debt repayment)</t>
  </si>
  <si>
    <t>ACQUISITION DEBT SCHEDULE &amp; CASH SWEEP</t>
  </si>
  <si>
    <t>Opening Acquisition debt</t>
  </si>
  <si>
    <t>Operating debt</t>
  </si>
  <si>
    <t>Debt Interest Rate</t>
  </si>
  <si>
    <t>Cash sweep</t>
  </si>
  <si>
    <t>Closing debt</t>
  </si>
  <si>
    <t>Net debt at exit</t>
  </si>
  <si>
    <t>RETURNS - EQUITY BRIDGE</t>
  </si>
  <si>
    <t>EXIT EBITDA</t>
  </si>
  <si>
    <t>EXIT EV MULTIPLE</t>
  </si>
  <si>
    <t>EXIT ENTERPRISE VALUE</t>
  </si>
  <si>
    <t>Exit Equity Value</t>
  </si>
  <si>
    <t xml:space="preserve">FactSet Private Co (CONSOL) FY May 2025 </t>
  </si>
  <si>
    <t xml:space="preserve">Companies House Note 22 -12pct coupon, repayable 31 Dec 2026 </t>
  </si>
  <si>
    <t xml:space="preserve">Comp-supported: ~10x listed through-cycle median less </t>
  </si>
  <si>
    <t>Comp-supported range 6.5-7.5x</t>
  </si>
  <si>
    <t xml:space="preserve">Actual FY24-&gt;FY25 NWC move £1.30m / revenue move £3.17m </t>
  </si>
  <si>
    <t>CH cash flow stmt: tangible asset acquisitions Note 14)</t>
  </si>
  <si>
    <t>Margin 3.75pct over SOFR/SONIA sourced (Note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</si>
</sst>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;\(#,##0.0\);\-"/>
    <numFmt numFmtId="165" formatCode="0.0%"/>
    <numFmt numFmtId="166" formatCode="0.0\x"/>
    <numFmt numFmtId="167" formatCode="0.00\x"/>
    <numFmt numFmtId="170" formatCode="#,##0.000000_);\(#,##0.000000\)"/>
    <numFmt numFmtId="171" formatCode="#,##0.0000000000_);\(#,##0.0000000000\)"/>
  </numFmts>
  <fonts count="22" x14ac:knownFonts="1">
    <font>
      <sz val="11"/>
      <color theme="1"/>
      <name val="Calibri"/>
      <family val="2"/>
      <charset val="1"/>
    </font>
    <font>
      <b/>
      <sz val="18"/>
      <color rgb="FF0D1B3E"/>
      <name val="Cambria"/>
      <family val="1"/>
    </font>
    <font>
      <sz val="11"/>
      <color theme="1"/>
      <name val="Cambria"/>
      <family val="1"/>
    </font>
    <font>
      <i/>
      <sz val="10"/>
      <color rgb="FF666666"/>
      <name val="Cambria"/>
      <family val="1"/>
    </font>
    <font>
      <b/>
      <sz val="11"/>
      <color rgb="FFFFFFFF"/>
      <name val="Cambria"/>
      <family val="1"/>
    </font>
    <font>
      <sz val="10"/>
      <color rgb="FF000000"/>
      <name val="Cambria"/>
      <family val="1"/>
    </font>
    <font>
      <b/>
      <sz val="10"/>
      <color rgb="FF1B7A3D"/>
      <name val="Cambria"/>
      <family val="1"/>
    </font>
    <font>
      <b/>
      <sz val="10"/>
      <color rgb="FF1565C0"/>
      <name val="Cambria"/>
      <family val="1"/>
    </font>
    <font>
      <b/>
      <sz val="10"/>
      <color rgb="FFB7791F"/>
      <name val="Cambria"/>
      <family val="1"/>
    </font>
    <font>
      <b/>
      <sz val="10"/>
      <color rgb="FF8A1FB7"/>
      <name val="Cambria"/>
      <family val="1"/>
    </font>
    <font>
      <i/>
      <sz val="8"/>
      <color rgb="FF666666"/>
      <name val="Cambria"/>
      <family val="1"/>
    </font>
    <font>
      <b/>
      <sz val="10"/>
      <color rgb="FF000000"/>
      <name val="Cambria"/>
      <family val="1"/>
    </font>
    <font>
      <sz val="10"/>
      <color rgb="FF0000FF"/>
      <name val="Cambria"/>
      <family val="1"/>
    </font>
    <font>
      <b/>
      <sz val="13"/>
      <color rgb="FF0D1B3E"/>
      <name val="Cambria"/>
      <family val="1"/>
    </font>
    <font>
      <b/>
      <sz val="8"/>
      <color rgb="FF1B7A3D"/>
      <name val="Cambria"/>
      <family val="1"/>
    </font>
    <font>
      <b/>
      <sz val="8"/>
      <color rgb="FF1565C0"/>
      <name val="Cambria"/>
      <family val="1"/>
    </font>
    <font>
      <b/>
      <sz val="8"/>
      <color rgb="FFB7791F"/>
      <name val="Cambria"/>
      <family val="1"/>
    </font>
    <font>
      <b/>
      <sz val="15"/>
      <color rgb="FF0D1B3E"/>
      <name val="Cambria"/>
      <family val="1"/>
    </font>
    <font>
      <sz val="10"/>
      <color rgb="FF008000"/>
      <name val="Cambria"/>
      <family val="1"/>
    </font>
    <font>
      <b/>
      <sz val="10"/>
      <color rgb="FFFFFFFF"/>
      <name val="Cambria"/>
      <family val="1"/>
    </font>
    <font>
      <b/>
      <sz val="12"/>
      <color rgb="FF0D1B3E"/>
      <name val="Cambria"/>
      <family val="1"/>
    </font>
    <font>
      <b/>
      <sz val="11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0D1B3E"/>
        <bgColor rgb="FF1A2A4A"/>
      </patternFill>
    </fill>
    <fill>
      <patternFill patternType="solid">
        <fgColor rgb="FFFFF3CD"/>
        <bgColor rgb="FFF2F2F5"/>
      </patternFill>
    </fill>
    <fill>
      <patternFill patternType="solid">
        <fgColor rgb="FFF2F2F5"/>
        <bgColor rgb="FFFFFFFF"/>
      </patternFill>
    </fill>
    <fill>
      <patternFill patternType="solid">
        <fgColor rgb="FF1A2A4A"/>
        <bgColor rgb="FF0D1B3E"/>
      </patternFill>
    </fill>
    <fill>
      <patternFill patternType="solid">
        <fgColor rgb="FFC9A84C"/>
        <bgColor rgb="FFB7791F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11" fillId="4" borderId="0" xfId="0" applyFont="1" applyFill="1" applyAlignment="1">
      <alignment horizontal="right"/>
    </xf>
    <xf numFmtId="0" fontId="5" fillId="0" borderId="0" xfId="0" applyFont="1"/>
    <xf numFmtId="164" fontId="12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164" fontId="5" fillId="0" borderId="0" xfId="0" applyNumberFormat="1" applyFont="1" applyAlignment="1">
      <alignment horizontal="right"/>
    </xf>
    <xf numFmtId="0" fontId="15" fillId="0" borderId="0" xfId="0" applyFont="1" applyAlignment="1">
      <alignment horizontal="center"/>
    </xf>
    <xf numFmtId="0" fontId="10" fillId="0" borderId="0" xfId="0" applyFont="1"/>
    <xf numFmtId="166" fontId="12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166" fontId="5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right"/>
    </xf>
    <xf numFmtId="0" fontId="17" fillId="0" borderId="0" xfId="0" applyFont="1"/>
    <xf numFmtId="0" fontId="11" fillId="4" borderId="0" xfId="0" applyFont="1" applyFill="1"/>
    <xf numFmtId="164" fontId="18" fillId="0" borderId="0" xfId="0" applyNumberFormat="1" applyFont="1" applyAlignment="1">
      <alignment horizontal="right"/>
    </xf>
    <xf numFmtId="164" fontId="11" fillId="4" borderId="0" xfId="0" applyNumberFormat="1" applyFont="1" applyFill="1" applyAlignment="1">
      <alignment horizontal="right"/>
    </xf>
    <xf numFmtId="0" fontId="11" fillId="2" borderId="0" xfId="0" applyFont="1" applyFill="1"/>
    <xf numFmtId="0" fontId="4" fillId="2" borderId="0" xfId="0" applyFont="1" applyFill="1" applyAlignment="1">
      <alignment horizontal="center" wrapText="1"/>
    </xf>
    <xf numFmtId="165" fontId="18" fillId="0" borderId="0" xfId="0" applyNumberFormat="1" applyFont="1" applyAlignment="1">
      <alignment horizontal="right"/>
    </xf>
    <xf numFmtId="0" fontId="19" fillId="5" borderId="0" xfId="0" applyFont="1" applyFill="1" applyAlignment="1">
      <alignment horizontal="left"/>
    </xf>
    <xf numFmtId="166" fontId="18" fillId="0" borderId="0" xfId="0" applyNumberFormat="1" applyFont="1" applyAlignment="1">
      <alignment horizontal="right"/>
    </xf>
    <xf numFmtId="0" fontId="11" fillId="6" borderId="0" xfId="0" applyFont="1" applyFill="1"/>
    <xf numFmtId="167" fontId="20" fillId="6" borderId="0" xfId="0" applyNumberFormat="1" applyFont="1" applyFill="1" applyAlignment="1">
      <alignment horizontal="right"/>
    </xf>
    <xf numFmtId="1" fontId="18" fillId="0" borderId="0" xfId="0" applyNumberFormat="1" applyFont="1" applyAlignment="1">
      <alignment horizontal="right"/>
    </xf>
    <xf numFmtId="165" fontId="20" fillId="6" borderId="0" xfId="0" applyNumberFormat="1" applyFont="1" applyFill="1" applyAlignment="1">
      <alignment horizontal="right"/>
    </xf>
    <xf numFmtId="0" fontId="11" fillId="0" borderId="0" xfId="0" applyFont="1" applyAlignment="1">
      <alignment horizontal="center"/>
    </xf>
    <xf numFmtId="165" fontId="12" fillId="4" borderId="0" xfId="0" applyNumberFormat="1" applyFont="1" applyFill="1" applyAlignment="1">
      <alignment horizontal="center"/>
    </xf>
    <xf numFmtId="166" fontId="12" fillId="4" borderId="0" xfId="0" applyNumberFormat="1" applyFont="1" applyFill="1" applyAlignment="1">
      <alignment horizontal="center"/>
    </xf>
    <xf numFmtId="167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2" fillId="0" borderId="4" xfId="0" applyFont="1" applyBorder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170" fontId="2" fillId="0" borderId="0" xfId="0" applyNumberFormat="1" applyFont="1"/>
    <xf numFmtId="0" fontId="21" fillId="0" borderId="0" xfId="0" applyFont="1"/>
    <xf numFmtId="0" fontId="21" fillId="0" borderId="5" xfId="0" applyFont="1" applyBorder="1"/>
    <xf numFmtId="170" fontId="2" fillId="0" borderId="5" xfId="0" applyNumberFormat="1" applyFont="1" applyBorder="1"/>
    <xf numFmtId="164" fontId="2" fillId="0" borderId="5" xfId="0" applyNumberFormat="1" applyFont="1" applyBorder="1"/>
    <xf numFmtId="171" fontId="2" fillId="0" borderId="0" xfId="0" applyNumberFormat="1" applyFont="1"/>
    <xf numFmtId="171" fontId="21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A1FB7"/>
      <rgbColor rgb="FF1B7A3D"/>
      <rgbColor rgb="FFC0C0C0"/>
      <rgbColor rgb="FF808080"/>
      <rgbColor rgb="FF9999FF"/>
      <rgbColor rgb="FF993366"/>
      <rgbColor rgb="FFFFF3CD"/>
      <rgbColor rgb="FFF2F2F5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9A84C"/>
      <rgbColor rgb="FF0D1B3E"/>
      <rgbColor rgb="FF339966"/>
      <rgbColor rgb="FF003300"/>
      <rgbColor rgb="FF333300"/>
      <rgbColor rgb="FF993300"/>
      <rgbColor rgb="FF993366"/>
      <rgbColor rgb="FF333399"/>
      <rgbColor rgb="FF1A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  <pageSetUpPr fitToPage="1"/>
  </sheetPr>
  <dimension ref="B2:N68"/>
  <sheetViews>
    <sheetView showGridLines="0" tabSelected="1" zoomScale="171" zoomScaleNormal="100" zoomScalePageLayoutView="68" workbookViewId="0">
      <selection activeCell="K47" sqref="K47"/>
    </sheetView>
  </sheetViews>
  <sheetFormatPr baseColWidth="10" defaultColWidth="8.6640625" defaultRowHeight="14" x14ac:dyDescent="0.15"/>
  <cols>
    <col min="1" max="1" width="3" style="2" customWidth="1"/>
    <col min="2" max="2" width="42" style="2" customWidth="1"/>
    <col min="3" max="3" width="12" style="2" customWidth="1"/>
    <col min="4" max="4" width="9" style="2" customWidth="1"/>
    <col min="5" max="5" width="12" style="2" customWidth="1"/>
    <col min="6" max="6" width="9.1640625" style="2" customWidth="1"/>
    <col min="7" max="9" width="8.6640625" style="2"/>
    <col min="15" max="16384" width="8.6640625" style="2"/>
  </cols>
  <sheetData>
    <row r="2" spans="2:9" s="2" customFormat="1" ht="23" x14ac:dyDescent="0.25">
      <c r="B2" s="1" t="s">
        <v>154</v>
      </c>
      <c r="C2" s="1"/>
      <c r="D2" s="1"/>
      <c r="E2" s="1"/>
      <c r="F2" s="1"/>
    </row>
    <row r="3" spans="2:9" s="2" customFormat="1" x14ac:dyDescent="0.15">
      <c r="B3" s="3" t="s">
        <v>0</v>
      </c>
      <c r="C3" s="3"/>
      <c r="D3" s="3"/>
      <c r="E3" s="3"/>
      <c r="F3" s="3"/>
    </row>
    <row r="4" spans="2:9" s="2" customFormat="1" x14ac:dyDescent="0.15">
      <c r="B4" s="3" t="s">
        <v>1</v>
      </c>
      <c r="C4" s="3"/>
      <c r="D4" s="3"/>
      <c r="E4" s="3"/>
      <c r="F4" s="3"/>
    </row>
    <row r="6" spans="2:9" s="2" customFormat="1" x14ac:dyDescent="0.15">
      <c r="B6" s="4" t="s">
        <v>170</v>
      </c>
      <c r="C6" s="4"/>
      <c r="D6" s="4"/>
      <c r="E6" s="4"/>
      <c r="F6" s="4"/>
      <c r="G6" s="4"/>
      <c r="H6" s="4"/>
      <c r="I6" s="4"/>
    </row>
    <row r="7" spans="2:9" s="2" customFormat="1" x14ac:dyDescent="0.15">
      <c r="B7" s="5" t="s">
        <v>2</v>
      </c>
      <c r="C7" s="5"/>
      <c r="D7" s="5"/>
      <c r="E7" s="5"/>
      <c r="F7" s="5"/>
      <c r="G7" s="5"/>
      <c r="H7" s="5"/>
      <c r="I7" s="5"/>
    </row>
    <row r="8" spans="2:9" s="2" customFormat="1" x14ac:dyDescent="0.15">
      <c r="B8" s="5" t="s">
        <v>171</v>
      </c>
      <c r="C8" s="5"/>
      <c r="D8" s="5"/>
      <c r="E8" s="5"/>
      <c r="F8" s="5"/>
      <c r="G8" s="5"/>
      <c r="H8" s="5"/>
      <c r="I8" s="5"/>
    </row>
    <row r="9" spans="2:9" s="2" customFormat="1" x14ac:dyDescent="0.15">
      <c r="B9" s="5" t="s">
        <v>3</v>
      </c>
      <c r="C9" s="5"/>
      <c r="D9" s="5"/>
      <c r="E9" s="5"/>
      <c r="F9" s="5"/>
      <c r="G9" s="5"/>
      <c r="H9" s="5"/>
      <c r="I9" s="5"/>
    </row>
    <row r="10" spans="2:9" s="2" customFormat="1" x14ac:dyDescent="0.15">
      <c r="B10" s="5" t="s">
        <v>4</v>
      </c>
      <c r="C10" s="5"/>
      <c r="D10" s="5"/>
      <c r="E10" s="5"/>
      <c r="F10" s="5"/>
      <c r="G10" s="5"/>
      <c r="H10" s="5"/>
      <c r="I10" s="5"/>
    </row>
    <row r="11" spans="2:9" s="2" customFormat="1" x14ac:dyDescent="0.15">
      <c r="B11" s="5" t="s">
        <v>172</v>
      </c>
      <c r="C11" s="5"/>
      <c r="D11" s="5"/>
      <c r="E11" s="5"/>
      <c r="F11" s="5"/>
      <c r="G11" s="5"/>
      <c r="H11" s="5"/>
      <c r="I11" s="5"/>
    </row>
    <row r="12" spans="2:9" s="2" customFormat="1" x14ac:dyDescent="0.15">
      <c r="B12" s="5" t="s">
        <v>155</v>
      </c>
      <c r="C12" s="5"/>
      <c r="D12" s="5"/>
      <c r="E12" s="5"/>
      <c r="F12" s="5"/>
      <c r="G12" s="5"/>
      <c r="H12" s="5"/>
      <c r="I12" s="5"/>
    </row>
    <row r="13" spans="2:9" s="2" customFormat="1" x14ac:dyDescent="0.15">
      <c r="B13" s="5" t="s">
        <v>156</v>
      </c>
      <c r="C13" s="5"/>
      <c r="D13" s="5"/>
      <c r="E13" s="5"/>
      <c r="F13" s="5"/>
      <c r="G13" s="5"/>
      <c r="H13" s="5"/>
      <c r="I13" s="5"/>
    </row>
    <row r="15" spans="2:9" s="2" customFormat="1" x14ac:dyDescent="0.15">
      <c r="B15" s="4" t="s">
        <v>5</v>
      </c>
      <c r="C15" s="4"/>
      <c r="D15" s="4"/>
      <c r="E15" s="4"/>
      <c r="F15" s="4"/>
      <c r="G15" s="4"/>
      <c r="H15" s="4"/>
      <c r="I15" s="4"/>
    </row>
    <row r="16" spans="2:9" s="2" customFormat="1" x14ac:dyDescent="0.15">
      <c r="B16" s="6" t="s">
        <v>6</v>
      </c>
      <c r="C16" s="7" t="s">
        <v>7</v>
      </c>
      <c r="D16" s="7"/>
      <c r="E16" s="7"/>
      <c r="F16" s="7"/>
    </row>
    <row r="17" spans="2:9" s="2" customFormat="1" x14ac:dyDescent="0.15">
      <c r="B17" s="8" t="s">
        <v>8</v>
      </c>
      <c r="C17" s="7" t="s">
        <v>9</v>
      </c>
      <c r="D17" s="7"/>
      <c r="E17" s="7"/>
      <c r="F17" s="7"/>
    </row>
    <row r="18" spans="2:9" s="2" customFormat="1" x14ac:dyDescent="0.15">
      <c r="B18" s="9" t="s">
        <v>10</v>
      </c>
      <c r="C18" s="7" t="s">
        <v>157</v>
      </c>
      <c r="D18" s="7"/>
      <c r="E18" s="7"/>
      <c r="F18" s="7"/>
    </row>
    <row r="19" spans="2:9" s="2" customFormat="1" x14ac:dyDescent="0.15">
      <c r="B19" s="10" t="s">
        <v>11</v>
      </c>
      <c r="C19" s="7" t="s">
        <v>158</v>
      </c>
      <c r="D19" s="7"/>
      <c r="E19" s="7"/>
      <c r="F19" s="7"/>
    </row>
    <row r="20" spans="2:9" s="2" customFormat="1" x14ac:dyDescent="0.15">
      <c r="B20" s="11" t="s">
        <v>12</v>
      </c>
      <c r="C20" s="11"/>
      <c r="D20" s="11"/>
      <c r="E20" s="11"/>
      <c r="F20" s="11"/>
    </row>
    <row r="22" spans="2:9" s="2" customFormat="1" x14ac:dyDescent="0.15">
      <c r="B22" s="12" t="s">
        <v>159</v>
      </c>
      <c r="C22" s="12"/>
      <c r="D22" s="12"/>
      <c r="E22" s="12"/>
      <c r="F22" s="12"/>
      <c r="G22" s="12"/>
      <c r="H22" s="12"/>
      <c r="I22" s="12"/>
    </row>
    <row r="23" spans="2:9" s="2" customFormat="1" x14ac:dyDescent="0.15">
      <c r="B23" s="13" t="s">
        <v>13</v>
      </c>
      <c r="C23" s="14" t="s">
        <v>14</v>
      </c>
      <c r="D23" s="14" t="s">
        <v>15</v>
      </c>
      <c r="E23" s="14" t="s">
        <v>16</v>
      </c>
      <c r="F23" s="15" t="s">
        <v>17</v>
      </c>
      <c r="G23" s="14" t="s">
        <v>18</v>
      </c>
      <c r="H23" s="14" t="s">
        <v>19</v>
      </c>
      <c r="I23" s="14" t="s">
        <v>20</v>
      </c>
    </row>
    <row r="24" spans="2:9" s="2" customFormat="1" x14ac:dyDescent="0.15">
      <c r="B24" s="16" t="s">
        <v>21</v>
      </c>
      <c r="C24" s="17">
        <v>9.44</v>
      </c>
      <c r="D24" s="17">
        <v>-5.758</v>
      </c>
      <c r="E24" s="17">
        <v>-3.012</v>
      </c>
      <c r="F24" s="17">
        <v>2.2029999999999998</v>
      </c>
      <c r="G24" s="17">
        <v>4.1210000000000004</v>
      </c>
      <c r="H24" s="17">
        <v>5.9630000000000001</v>
      </c>
      <c r="I24" s="17">
        <v>6.4870000000000001</v>
      </c>
    </row>
    <row r="25" spans="2:9" s="2" customFormat="1" x14ac:dyDescent="0.15">
      <c r="B25" s="16" t="s">
        <v>22</v>
      </c>
      <c r="C25" s="18">
        <v>0.18490000000000001</v>
      </c>
      <c r="D25" s="18">
        <v>-0.13539999999999999</v>
      </c>
      <c r="E25" s="18">
        <v>-0.1353</v>
      </c>
      <c r="F25" s="18">
        <v>8.3000000000000004E-2</v>
      </c>
      <c r="G25" s="18">
        <v>0.1158</v>
      </c>
      <c r="H25" s="18">
        <v>0.14230000000000001</v>
      </c>
      <c r="I25" s="18">
        <v>0.1439</v>
      </c>
    </row>
    <row r="26" spans="2:9" s="2" customFormat="1" x14ac:dyDescent="0.15">
      <c r="B26" s="11" t="s">
        <v>23</v>
      </c>
      <c r="C26" s="11"/>
      <c r="D26" s="11"/>
      <c r="E26" s="11"/>
      <c r="F26" s="11"/>
    </row>
    <row r="28" spans="2:9" s="2" customFormat="1" ht="17" x14ac:dyDescent="0.2">
      <c r="B28" s="19" t="s">
        <v>160</v>
      </c>
      <c r="C28" s="19"/>
      <c r="D28" s="19"/>
      <c r="E28" s="19"/>
      <c r="F28" s="19"/>
    </row>
    <row r="30" spans="2:9" s="2" customFormat="1" x14ac:dyDescent="0.15">
      <c r="B30" s="4" t="s">
        <v>161</v>
      </c>
      <c r="C30" s="4"/>
      <c r="D30" s="4"/>
      <c r="E30" s="4"/>
      <c r="F30" s="4"/>
      <c r="G30" s="4"/>
      <c r="H30" s="4"/>
      <c r="I30" s="4"/>
    </row>
    <row r="31" spans="2:9" s="2" customFormat="1" x14ac:dyDescent="0.15">
      <c r="B31" s="16" t="s">
        <v>24</v>
      </c>
      <c r="C31" s="17">
        <v>45.082999999999998</v>
      </c>
      <c r="E31" s="20" t="s">
        <v>6</v>
      </c>
      <c r="F31" s="21" t="s">
        <v>25</v>
      </c>
    </row>
    <row r="32" spans="2:9" s="2" customFormat="1" x14ac:dyDescent="0.15">
      <c r="B32" s="16" t="s">
        <v>26</v>
      </c>
      <c r="C32" s="17">
        <v>12.2</v>
      </c>
      <c r="E32" s="20" t="s">
        <v>6</v>
      </c>
      <c r="F32" s="21" t="s">
        <v>27</v>
      </c>
    </row>
    <row r="33" spans="2:9" s="2" customFormat="1" x14ac:dyDescent="0.15">
      <c r="B33" s="16" t="s">
        <v>28</v>
      </c>
      <c r="C33" s="17">
        <v>4.359</v>
      </c>
      <c r="E33" s="20" t="s">
        <v>6</v>
      </c>
      <c r="F33" s="21" t="s">
        <v>29</v>
      </c>
    </row>
    <row r="34" spans="2:9" s="2" customFormat="1" x14ac:dyDescent="0.15">
      <c r="B34" s="16" t="s">
        <v>30</v>
      </c>
      <c r="C34" s="17">
        <v>2.1280000000000001</v>
      </c>
      <c r="E34" s="20" t="s">
        <v>6</v>
      </c>
      <c r="F34" s="21" t="s">
        <v>29</v>
      </c>
    </row>
    <row r="35" spans="2:9" s="2" customFormat="1" x14ac:dyDescent="0.15">
      <c r="B35" s="22" t="s">
        <v>31</v>
      </c>
      <c r="C35" s="23">
        <f>C33+C34</f>
        <v>6.4870000000000001</v>
      </c>
      <c r="E35" s="24" t="s">
        <v>8</v>
      </c>
      <c r="F35" s="25" t="s">
        <v>163</v>
      </c>
    </row>
    <row r="36" spans="2:9" s="2" customFormat="1" x14ac:dyDescent="0.15">
      <c r="B36" s="16" t="s">
        <v>32</v>
      </c>
      <c r="C36" s="18">
        <f>C35/C31</f>
        <v>0.1438901581527405</v>
      </c>
      <c r="E36" s="24" t="s">
        <v>8</v>
      </c>
      <c r="F36" s="25" t="s">
        <v>33</v>
      </c>
    </row>
    <row r="37" spans="2:9" s="2" customFormat="1" x14ac:dyDescent="0.15">
      <c r="B37" s="16" t="s">
        <v>34</v>
      </c>
      <c r="C37" s="17">
        <v>15.9</v>
      </c>
      <c r="E37" s="20" t="s">
        <v>6</v>
      </c>
      <c r="F37" s="21" t="s">
        <v>35</v>
      </c>
    </row>
    <row r="38" spans="2:9" s="2" customFormat="1" x14ac:dyDescent="0.15">
      <c r="B38" s="16" t="s">
        <v>36</v>
      </c>
      <c r="C38" s="17">
        <v>0.6</v>
      </c>
      <c r="E38" s="20" t="s">
        <v>6</v>
      </c>
      <c r="F38" s="21" t="s">
        <v>37</v>
      </c>
    </row>
    <row r="39" spans="2:9" s="2" customFormat="1" x14ac:dyDescent="0.15">
      <c r="B39" s="16" t="s">
        <v>38</v>
      </c>
      <c r="C39" s="17">
        <v>4.8380000000000001</v>
      </c>
      <c r="E39" s="20" t="s">
        <v>6</v>
      </c>
      <c r="F39" s="21" t="s">
        <v>217</v>
      </c>
    </row>
    <row r="40" spans="2:9" s="2" customFormat="1" x14ac:dyDescent="0.15">
      <c r="B40" s="22" t="s">
        <v>39</v>
      </c>
      <c r="C40" s="23">
        <f>C37+C38-C39</f>
        <v>11.661999999999999</v>
      </c>
      <c r="E40" s="24" t="s">
        <v>8</v>
      </c>
      <c r="F40" s="25" t="s">
        <v>40</v>
      </c>
    </row>
    <row r="41" spans="2:9" s="2" customFormat="1" x14ac:dyDescent="0.15">
      <c r="B41" s="16" t="s">
        <v>41</v>
      </c>
      <c r="C41" s="17">
        <v>33.200000000000003</v>
      </c>
      <c r="E41" s="20" t="s">
        <v>6</v>
      </c>
      <c r="F41" s="21" t="s">
        <v>218</v>
      </c>
    </row>
    <row r="42" spans="2:9" s="2" customFormat="1" x14ac:dyDescent="0.15">
      <c r="B42" s="16" t="s">
        <v>42</v>
      </c>
      <c r="C42" s="17">
        <v>49</v>
      </c>
      <c r="E42" s="20" t="s">
        <v>6</v>
      </c>
      <c r="F42" s="21" t="s">
        <v>165</v>
      </c>
    </row>
    <row r="43" spans="2:9" s="2" customFormat="1" x14ac:dyDescent="0.15">
      <c r="B43" s="22" t="s">
        <v>43</v>
      </c>
      <c r="C43" s="23">
        <f>C41+C42</f>
        <v>82.2</v>
      </c>
      <c r="E43" s="20" t="s">
        <v>6</v>
      </c>
      <c r="F43" s="25" t="s">
        <v>44</v>
      </c>
    </row>
    <row r="45" spans="2:9" s="2" customFormat="1" x14ac:dyDescent="0.15">
      <c r="B45" s="4" t="s">
        <v>166</v>
      </c>
      <c r="C45" s="4"/>
      <c r="D45" s="4"/>
      <c r="E45" s="4"/>
      <c r="F45" s="4"/>
      <c r="G45" s="4"/>
      <c r="H45" s="4"/>
      <c r="I45" s="4"/>
    </row>
    <row r="46" spans="2:9" s="2" customFormat="1" x14ac:dyDescent="0.15">
      <c r="B46" s="16" t="s">
        <v>45</v>
      </c>
      <c r="C46" s="26">
        <v>7</v>
      </c>
      <c r="E46" s="24" t="s">
        <v>8</v>
      </c>
      <c r="F46" s="21" t="s">
        <v>219</v>
      </c>
    </row>
    <row r="47" spans="2:9" s="2" customFormat="1" x14ac:dyDescent="0.15">
      <c r="B47" s="22" t="s">
        <v>47</v>
      </c>
      <c r="C47" s="23">
        <f>C35*C46</f>
        <v>45.408999999999999</v>
      </c>
      <c r="E47" s="24" t="s">
        <v>8</v>
      </c>
      <c r="F47" s="25" t="s">
        <v>48</v>
      </c>
    </row>
    <row r="48" spans="2:9" s="2" customFormat="1" x14ac:dyDescent="0.15">
      <c r="B48" s="16" t="s">
        <v>49</v>
      </c>
      <c r="C48" s="27">
        <v>0.51</v>
      </c>
      <c r="E48" s="28" t="s">
        <v>10</v>
      </c>
      <c r="F48" s="21" t="s">
        <v>167</v>
      </c>
    </row>
    <row r="49" spans="2:9" s="2" customFormat="1" x14ac:dyDescent="0.15">
      <c r="B49" s="22" t="s">
        <v>50</v>
      </c>
      <c r="C49" s="23">
        <f>C43*(1-C48)</f>
        <v>40.277999999999999</v>
      </c>
      <c r="E49" s="24" t="s">
        <v>8</v>
      </c>
      <c r="F49" s="25" t="s">
        <v>51</v>
      </c>
    </row>
    <row r="50" spans="2:9" s="2" customFormat="1" x14ac:dyDescent="0.15">
      <c r="B50" s="16" t="s">
        <v>52</v>
      </c>
      <c r="C50" s="17">
        <v>2.1</v>
      </c>
      <c r="E50" s="28" t="s">
        <v>10</v>
      </c>
      <c r="F50" s="21" t="s">
        <v>53</v>
      </c>
    </row>
    <row r="51" spans="2:9" s="2" customFormat="1" x14ac:dyDescent="0.15">
      <c r="B51" s="16" t="s">
        <v>54</v>
      </c>
      <c r="C51" s="17">
        <v>26</v>
      </c>
      <c r="E51" s="28" t="s">
        <v>10</v>
      </c>
      <c r="F51" s="21" t="s">
        <v>55</v>
      </c>
    </row>
    <row r="52" spans="2:9" s="2" customFormat="1" x14ac:dyDescent="0.15">
      <c r="B52" s="16" t="s">
        <v>56</v>
      </c>
      <c r="C52" s="17">
        <v>2</v>
      </c>
      <c r="E52" s="28" t="s">
        <v>10</v>
      </c>
      <c r="F52" s="21" t="s">
        <v>53</v>
      </c>
    </row>
    <row r="53" spans="2:9" s="2" customFormat="1" x14ac:dyDescent="0.15">
      <c r="B53" s="16" t="s">
        <v>57</v>
      </c>
      <c r="C53" s="29">
        <f>C51/C35</f>
        <v>4.0080160320641278</v>
      </c>
      <c r="E53" s="24" t="s">
        <v>8</v>
      </c>
      <c r="F53" s="25" t="s">
        <v>58</v>
      </c>
    </row>
    <row r="55" spans="2:9" s="2" customFormat="1" x14ac:dyDescent="0.15">
      <c r="B55" s="4" t="s">
        <v>59</v>
      </c>
      <c r="C55" s="4"/>
      <c r="D55" s="4"/>
      <c r="E55" s="4"/>
      <c r="F55" s="4"/>
      <c r="G55" s="4"/>
      <c r="H55" s="4"/>
      <c r="I55" s="4"/>
    </row>
    <row r="56" spans="2:9" s="2" customFormat="1" x14ac:dyDescent="0.15">
      <c r="B56" s="16" t="s">
        <v>60</v>
      </c>
      <c r="C56" s="27">
        <v>0.05</v>
      </c>
      <c r="E56" s="28" t="s">
        <v>10</v>
      </c>
      <c r="F56" s="21" t="s">
        <v>61</v>
      </c>
    </row>
    <row r="57" spans="2:9" s="2" customFormat="1" x14ac:dyDescent="0.15">
      <c r="B57" s="16" t="s">
        <v>168</v>
      </c>
      <c r="C57" s="27">
        <v>0.17</v>
      </c>
      <c r="E57" s="28" t="s">
        <v>10</v>
      </c>
      <c r="F57" s="21" t="s">
        <v>62</v>
      </c>
    </row>
    <row r="58" spans="2:9" s="2" customFormat="1" x14ac:dyDescent="0.15">
      <c r="B58" s="16" t="s">
        <v>63</v>
      </c>
      <c r="C58" s="18">
        <f>C34/C31</f>
        <v>4.7201827739946328E-2</v>
      </c>
      <c r="E58" s="24" t="s">
        <v>8</v>
      </c>
      <c r="F58" s="25" t="s">
        <v>64</v>
      </c>
    </row>
    <row r="59" spans="2:9" s="2" customFormat="1" x14ac:dyDescent="0.15">
      <c r="B59" s="16" t="s">
        <v>65</v>
      </c>
      <c r="C59" s="27">
        <v>2.1399999999999999E-2</v>
      </c>
      <c r="E59" s="20" t="s">
        <v>6</v>
      </c>
      <c r="F59" s="21" t="s">
        <v>222</v>
      </c>
    </row>
    <row r="60" spans="2:9" s="2" customFormat="1" x14ac:dyDescent="0.15">
      <c r="B60" s="16" t="s">
        <v>169</v>
      </c>
      <c r="C60" s="27">
        <v>0.41</v>
      </c>
      <c r="E60" s="24" t="s">
        <v>8</v>
      </c>
      <c r="F60" s="21" t="s">
        <v>221</v>
      </c>
    </row>
    <row r="61" spans="2:9" s="2" customFormat="1" x14ac:dyDescent="0.15">
      <c r="B61" s="16" t="s">
        <v>68</v>
      </c>
      <c r="C61" s="27">
        <v>0.25</v>
      </c>
      <c r="E61" s="28" t="s">
        <v>10</v>
      </c>
      <c r="F61" s="21" t="s">
        <v>69</v>
      </c>
    </row>
    <row r="62" spans="2:9" s="2" customFormat="1" x14ac:dyDescent="0.15">
      <c r="B62" s="16" t="s">
        <v>70</v>
      </c>
      <c r="C62" s="27">
        <v>8.5000000000000006E-2</v>
      </c>
      <c r="E62" s="28" t="s">
        <v>10</v>
      </c>
      <c r="F62" s="21" t="s">
        <v>223</v>
      </c>
    </row>
    <row r="63" spans="2:9" s="2" customFormat="1" x14ac:dyDescent="0.15">
      <c r="B63" s="16" t="s">
        <v>72</v>
      </c>
      <c r="C63" s="27">
        <v>1</v>
      </c>
      <c r="E63" s="28" t="s">
        <v>10</v>
      </c>
      <c r="F63" s="21" t="s">
        <v>73</v>
      </c>
    </row>
    <row r="64" spans="2:9" s="2" customFormat="1" x14ac:dyDescent="0.15">
      <c r="B64" s="16" t="s">
        <v>74</v>
      </c>
      <c r="C64" s="17">
        <v>3</v>
      </c>
      <c r="E64" s="28" t="s">
        <v>10</v>
      </c>
      <c r="F64" s="21" t="s">
        <v>75</v>
      </c>
    </row>
    <row r="66" spans="2:9" s="2" customFormat="1" x14ac:dyDescent="0.15">
      <c r="B66" s="4" t="s">
        <v>76</v>
      </c>
      <c r="C66" s="4"/>
      <c r="D66" s="4"/>
      <c r="E66" s="4"/>
      <c r="F66" s="4"/>
      <c r="G66" s="4"/>
      <c r="H66" s="4"/>
      <c r="I66" s="4"/>
    </row>
    <row r="67" spans="2:9" s="2" customFormat="1" x14ac:dyDescent="0.15">
      <c r="B67" s="16" t="s">
        <v>77</v>
      </c>
      <c r="C67" s="30">
        <v>5</v>
      </c>
      <c r="E67" s="28" t="s">
        <v>10</v>
      </c>
      <c r="F67" s="21" t="s">
        <v>53</v>
      </c>
    </row>
    <row r="68" spans="2:9" s="2" customFormat="1" x14ac:dyDescent="0.15">
      <c r="B68" s="16" t="s">
        <v>78</v>
      </c>
      <c r="C68" s="26">
        <v>7.5</v>
      </c>
      <c r="E68" s="28" t="s">
        <v>10</v>
      </c>
      <c r="F68" s="21" t="s">
        <v>220</v>
      </c>
    </row>
  </sheetData>
  <mergeCells count="26">
    <mergeCell ref="G12:I12"/>
    <mergeCell ref="G13:I13"/>
    <mergeCell ref="G7:I7"/>
    <mergeCell ref="G8:I8"/>
    <mergeCell ref="G9:I9"/>
    <mergeCell ref="G10:I10"/>
    <mergeCell ref="G11:I11"/>
    <mergeCell ref="G22:I22"/>
    <mergeCell ref="C19:F19"/>
    <mergeCell ref="B20:F20"/>
    <mergeCell ref="B22:F22"/>
    <mergeCell ref="B26:F26"/>
    <mergeCell ref="B28:F28"/>
    <mergeCell ref="B13:F13"/>
    <mergeCell ref="C16:F16"/>
    <mergeCell ref="C17:F17"/>
    <mergeCell ref="C18:F18"/>
    <mergeCell ref="B8:F8"/>
    <mergeCell ref="B9:F9"/>
    <mergeCell ref="B10:F10"/>
    <mergeCell ref="B11:F11"/>
    <mergeCell ref="B12:F12"/>
    <mergeCell ref="B2:F2"/>
    <mergeCell ref="B3:F3"/>
    <mergeCell ref="B4:F4"/>
    <mergeCell ref="B7:F7"/>
  </mergeCells>
  <printOptions headings="1"/>
  <pageMargins left="0.3" right="0.3" top="1" bottom="1" header="0.511811023622047" footer="0.511811023622047"/>
  <pageSetup scale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1B3E"/>
    <pageSetUpPr fitToPage="1"/>
  </sheetPr>
  <dimension ref="B1:H87"/>
  <sheetViews>
    <sheetView showGridLines="0" zoomScale="161" zoomScaleNormal="100" workbookViewId="0">
      <selection activeCell="J11" sqref="J11"/>
    </sheetView>
  </sheetViews>
  <sheetFormatPr baseColWidth="10" defaultColWidth="8.6640625" defaultRowHeight="14" x14ac:dyDescent="0.15"/>
  <cols>
    <col min="1" max="1" width="3" style="2" customWidth="1"/>
    <col min="2" max="2" width="36" style="2" customWidth="1"/>
    <col min="3" max="5" width="12" style="2" customWidth="1"/>
    <col min="6" max="6" width="12.33203125" style="2" customWidth="1"/>
    <col min="7" max="8" width="12" style="2" customWidth="1"/>
    <col min="9" max="16384" width="8.6640625" style="2"/>
  </cols>
  <sheetData>
    <row r="1" spans="2:8" ht="19" x14ac:dyDescent="0.2">
      <c r="B1" s="31" t="s">
        <v>145</v>
      </c>
      <c r="C1" s="31"/>
      <c r="D1" s="31"/>
      <c r="E1" s="31"/>
      <c r="F1" s="31"/>
      <c r="G1" s="31"/>
      <c r="H1" s="31"/>
    </row>
    <row r="3" spans="2:8" x14ac:dyDescent="0.15">
      <c r="B3" s="12" t="s">
        <v>146</v>
      </c>
      <c r="C3" s="12"/>
      <c r="D3" s="12"/>
      <c r="E3" s="12"/>
      <c r="F3" s="12"/>
      <c r="G3" s="12"/>
      <c r="H3" s="12"/>
    </row>
    <row r="4" spans="2:8" x14ac:dyDescent="0.15">
      <c r="B4" s="32" t="s">
        <v>80</v>
      </c>
      <c r="C4" s="32"/>
      <c r="F4" s="32" t="s">
        <v>81</v>
      </c>
      <c r="G4" s="32"/>
    </row>
    <row r="5" spans="2:8" x14ac:dyDescent="0.15">
      <c r="B5" s="16" t="s">
        <v>82</v>
      </c>
      <c r="C5" s="33">
        <f>'Cover &amp; Assumptions'!$C$37</f>
        <v>15.9</v>
      </c>
      <c r="F5" s="16" t="s">
        <v>173</v>
      </c>
      <c r="G5" s="33">
        <f>'Cover &amp; Assumptions'!$C$51</f>
        <v>26</v>
      </c>
    </row>
    <row r="6" spans="2:8" x14ac:dyDescent="0.15">
      <c r="B6" s="16" t="s">
        <v>83</v>
      </c>
      <c r="C6" s="33">
        <f>'Cover &amp; Assumptions'!$C$49</f>
        <v>40.277999999999999</v>
      </c>
      <c r="F6" s="16" t="s">
        <v>174</v>
      </c>
      <c r="G6" s="33">
        <f>'Cover &amp; Assumptions'!$C$52</f>
        <v>2</v>
      </c>
    </row>
    <row r="7" spans="2:8" x14ac:dyDescent="0.15">
      <c r="B7" s="16" t="s">
        <v>84</v>
      </c>
      <c r="C7" s="33">
        <f>'Cover &amp; Assumptions'!$C$50</f>
        <v>2.1</v>
      </c>
      <c r="F7" s="16" t="s">
        <v>175</v>
      </c>
      <c r="G7" s="23">
        <f>C8-G5-G6</f>
        <v>30.277999999999999</v>
      </c>
    </row>
    <row r="8" spans="2:8" x14ac:dyDescent="0.15">
      <c r="B8" s="13" t="s">
        <v>85</v>
      </c>
      <c r="C8" s="34">
        <f>SUM(C5:C7)</f>
        <v>58.277999999999999</v>
      </c>
      <c r="F8" s="13" t="s">
        <v>86</v>
      </c>
      <c r="G8" s="34">
        <f>SUM(G5:G7)</f>
        <v>58.277999999999999</v>
      </c>
    </row>
    <row r="9" spans="2:8" ht="15" thickBot="1" x14ac:dyDescent="0.2">
      <c r="F9" s="22" t="s">
        <v>176</v>
      </c>
      <c r="G9" s="23">
        <f>G7</f>
        <v>30.277999999999999</v>
      </c>
    </row>
    <row r="10" spans="2:8" ht="15" customHeight="1" thickBot="1" x14ac:dyDescent="0.2">
      <c r="E10" s="49" t="s">
        <v>87</v>
      </c>
      <c r="F10" s="50"/>
      <c r="G10" s="51" t="str">
        <f>IF(ROUND(G8-C8,2)=0,"OK","ERROR")</f>
        <v>OK</v>
      </c>
    </row>
    <row r="11" spans="2:8" x14ac:dyDescent="0.15">
      <c r="B11" s="11" t="s">
        <v>88</v>
      </c>
      <c r="C11" s="11"/>
      <c r="D11" s="11"/>
      <c r="E11" s="11"/>
      <c r="F11" s="11"/>
      <c r="G11" s="11"/>
      <c r="H11" s="11"/>
    </row>
    <row r="13" spans="2:8" x14ac:dyDescent="0.15">
      <c r="B13" s="12" t="s">
        <v>147</v>
      </c>
      <c r="C13" s="12"/>
      <c r="D13" s="12"/>
      <c r="E13" s="12"/>
      <c r="F13" s="12"/>
      <c r="G13" s="12"/>
      <c r="H13" s="12"/>
    </row>
    <row r="14" spans="2:8" ht="30" x14ac:dyDescent="0.15">
      <c r="B14" s="35" t="s">
        <v>89</v>
      </c>
      <c r="C14" s="36" t="s">
        <v>90</v>
      </c>
      <c r="D14" s="36" t="s">
        <v>91</v>
      </c>
      <c r="E14" s="36" t="s">
        <v>92</v>
      </c>
      <c r="F14" s="36" t="s">
        <v>93</v>
      </c>
      <c r="G14" s="36" t="s">
        <v>94</v>
      </c>
      <c r="H14" s="36" t="s">
        <v>95</v>
      </c>
    </row>
    <row r="15" spans="2:8" x14ac:dyDescent="0.15">
      <c r="B15" s="22" t="s">
        <v>96</v>
      </c>
      <c r="C15" s="33">
        <f>'Cover &amp; Assumptions'!$C$31</f>
        <v>45.082999999999998</v>
      </c>
      <c r="D15" s="23">
        <f>C15*(1+'Cover &amp; Assumptions'!$C$56)</f>
        <v>47.337150000000001</v>
      </c>
      <c r="E15" s="23">
        <f>D15*(1+'Cover &amp; Assumptions'!$C$56)</f>
        <v>49.704007500000003</v>
      </c>
      <c r="F15" s="23">
        <f>E15*(1+'Cover &amp; Assumptions'!$C$56)</f>
        <v>52.189207875000008</v>
      </c>
      <c r="G15" s="23">
        <f>F15*(1+'Cover &amp; Assumptions'!$C$56)</f>
        <v>54.798668268750014</v>
      </c>
      <c r="H15" s="23">
        <f>G15*(1+'Cover &amp; Assumptions'!$C$56)</f>
        <v>57.538601682187519</v>
      </c>
    </row>
    <row r="16" spans="2:8" x14ac:dyDescent="0.15">
      <c r="B16" s="16" t="s">
        <v>22</v>
      </c>
      <c r="C16" s="37">
        <f>'Cover &amp; Assumptions'!$C$36</f>
        <v>0.1438901581527405</v>
      </c>
      <c r="D16" s="18">
        <f>'Cover &amp; Assumptions'!$C$36+('Cover &amp; Assumptions'!$C$57-'Cover &amp; Assumptions'!$C$36)*1/'Cover &amp; Assumptions'!$C$67</f>
        <v>0.14911212652219241</v>
      </c>
      <c r="E16" s="18">
        <f>'Cover &amp; Assumptions'!$C$36+('Cover &amp; Assumptions'!$C$57-'Cover &amp; Assumptions'!$C$36)*2/'Cover &amp; Assumptions'!$C$67</f>
        <v>0.15433409489164432</v>
      </c>
      <c r="F16" s="18">
        <f>'Cover &amp; Assumptions'!$C$36+('Cover &amp; Assumptions'!$C$57-'Cover &amp; Assumptions'!$C$36)*3/'Cover &amp; Assumptions'!$C$67</f>
        <v>0.1595560632610962</v>
      </c>
      <c r="G16" s="18">
        <f>'Cover &amp; Assumptions'!$C$36+('Cover &amp; Assumptions'!$C$57-'Cover &amp; Assumptions'!$C$36)*4/'Cover &amp; Assumptions'!$C$67</f>
        <v>0.16477803163054811</v>
      </c>
      <c r="H16" s="18">
        <f>'Cover &amp; Assumptions'!$C$36+('Cover &amp; Assumptions'!$C$57-'Cover &amp; Assumptions'!$C$36)*5/'Cover &amp; Assumptions'!$C$67</f>
        <v>0.17</v>
      </c>
    </row>
    <row r="17" spans="2:8" x14ac:dyDescent="0.15">
      <c r="B17" s="22" t="s">
        <v>97</v>
      </c>
      <c r="C17" s="23">
        <f t="shared" ref="C17:H17" si="0">C15*C16</f>
        <v>6.4870000000000001</v>
      </c>
      <c r="D17" s="23">
        <f t="shared" si="0"/>
        <v>7.0585431000000005</v>
      </c>
      <c r="E17" s="23">
        <f t="shared" si="0"/>
        <v>7.6710230100000016</v>
      </c>
      <c r="F17" s="23">
        <f t="shared" si="0"/>
        <v>8.3271045532500008</v>
      </c>
      <c r="G17" s="23">
        <f t="shared" si="0"/>
        <v>9.029616693300003</v>
      </c>
      <c r="H17" s="23">
        <f t="shared" si="0"/>
        <v>9.7815622859718783</v>
      </c>
    </row>
    <row r="18" spans="2:8" x14ac:dyDescent="0.15">
      <c r="B18" s="16" t="s">
        <v>98</v>
      </c>
      <c r="C18" s="23">
        <f>-C15*'Cover &amp; Assumptions'!$C$58</f>
        <v>-2.1280000000000001</v>
      </c>
      <c r="D18" s="23">
        <f>-D15*'Cover &amp; Assumptions'!$C$58</f>
        <v>-2.2344000000000004</v>
      </c>
      <c r="E18" s="23">
        <f>-E15*'Cover &amp; Assumptions'!$C$58</f>
        <v>-2.3461200000000004</v>
      </c>
      <c r="F18" s="23">
        <f>-F15*'Cover &amp; Assumptions'!$C$58</f>
        <v>-2.4634260000000006</v>
      </c>
      <c r="G18" s="23">
        <f>-G15*'Cover &amp; Assumptions'!$C$58</f>
        <v>-2.5865973000000011</v>
      </c>
      <c r="H18" s="23">
        <f>-H15*'Cover &amp; Assumptions'!$C$58</f>
        <v>-2.7159271650000014</v>
      </c>
    </row>
    <row r="19" spans="2:8" x14ac:dyDescent="0.15">
      <c r="B19" s="22" t="s">
        <v>99</v>
      </c>
      <c r="C19" s="23">
        <f t="shared" ref="C19:H19" si="1">C17+C18</f>
        <v>4.359</v>
      </c>
      <c r="D19" s="23">
        <f t="shared" si="1"/>
        <v>4.8241431000000006</v>
      </c>
      <c r="E19" s="23">
        <f t="shared" si="1"/>
        <v>5.3249030100000017</v>
      </c>
      <c r="F19" s="23">
        <f t="shared" si="1"/>
        <v>5.8636785532500006</v>
      </c>
      <c r="G19" s="23">
        <f t="shared" si="1"/>
        <v>6.443019393300002</v>
      </c>
      <c r="H19" s="23">
        <f t="shared" si="1"/>
        <v>7.0656351209718764</v>
      </c>
    </row>
    <row r="20" spans="2:8" x14ac:dyDescent="0.15">
      <c r="B20" s="16" t="s">
        <v>100</v>
      </c>
      <c r="C20" s="23">
        <v>0</v>
      </c>
      <c r="D20" s="23">
        <f>-D37</f>
        <v>-2.21</v>
      </c>
      <c r="E20" s="23">
        <f>-E37</f>
        <v>-2.0180877807250002</v>
      </c>
      <c r="F20" s="23">
        <f>-F37</f>
        <v>-1.7807546833762189</v>
      </c>
      <c r="G20" s="23">
        <f>-G37</f>
        <v>-1.4926184788651402</v>
      </c>
      <c r="H20" s="23">
        <f>-H37</f>
        <v>-1.1477881223729618</v>
      </c>
    </row>
    <row r="21" spans="2:8" x14ac:dyDescent="0.15">
      <c r="B21" s="16" t="s">
        <v>101</v>
      </c>
      <c r="C21" s="23">
        <f t="shared" ref="C21:H21" si="2">C19+C20</f>
        <v>4.359</v>
      </c>
      <c r="D21" s="23">
        <f t="shared" si="2"/>
        <v>2.6141431000000006</v>
      </c>
      <c r="E21" s="23">
        <f t="shared" si="2"/>
        <v>3.3068152292750015</v>
      </c>
      <c r="F21" s="23">
        <f t="shared" si="2"/>
        <v>4.082923869873782</v>
      </c>
      <c r="G21" s="23">
        <f t="shared" si="2"/>
        <v>4.9504009144348622</v>
      </c>
      <c r="H21" s="23">
        <f t="shared" si="2"/>
        <v>5.9178469985989146</v>
      </c>
    </row>
    <row r="22" spans="2:8" x14ac:dyDescent="0.15">
      <c r="B22" s="16" t="s">
        <v>102</v>
      </c>
      <c r="C22" s="23">
        <f>-MAX(0,C21)*'Cover &amp; Assumptions'!$C$61</f>
        <v>-1.08975</v>
      </c>
      <c r="D22" s="23">
        <f>-MAX(0,D21)*'Cover &amp; Assumptions'!$C$61</f>
        <v>-0.65353577500000015</v>
      </c>
      <c r="E22" s="23">
        <f>-MAX(0,E21)*'Cover &amp; Assumptions'!$C$61</f>
        <v>-0.82670380731875037</v>
      </c>
      <c r="F22" s="23">
        <f>-MAX(0,F21)*'Cover &amp; Assumptions'!$C$61</f>
        <v>-1.0207309674684455</v>
      </c>
      <c r="G22" s="23">
        <f>-MAX(0,G21)*'Cover &amp; Assumptions'!$C$61</f>
        <v>-1.2376002286087155</v>
      </c>
      <c r="H22" s="23">
        <f>-MAX(0,H21)*'Cover &amp; Assumptions'!$C$61</f>
        <v>-1.4794617496497287</v>
      </c>
    </row>
    <row r="23" spans="2:8" x14ac:dyDescent="0.15">
      <c r="B23" s="22" t="s">
        <v>103</v>
      </c>
      <c r="C23" s="23">
        <f t="shared" ref="C23:H23" si="3">C21+C22</f>
        <v>3.26925</v>
      </c>
      <c r="D23" s="23">
        <f t="shared" si="3"/>
        <v>1.9606073250000005</v>
      </c>
      <c r="E23" s="23">
        <f t="shared" si="3"/>
        <v>2.4801114219562512</v>
      </c>
      <c r="F23" s="23">
        <f t="shared" si="3"/>
        <v>3.0621929024053367</v>
      </c>
      <c r="G23" s="23">
        <f t="shared" si="3"/>
        <v>3.7128006858261466</v>
      </c>
      <c r="H23" s="23">
        <f t="shared" si="3"/>
        <v>4.438385248949186</v>
      </c>
    </row>
    <row r="25" spans="2:8" x14ac:dyDescent="0.15">
      <c r="B25" s="38" t="s">
        <v>104</v>
      </c>
      <c r="C25" s="38"/>
      <c r="D25" s="38"/>
      <c r="E25" s="38"/>
      <c r="F25" s="38"/>
      <c r="G25" s="38"/>
      <c r="H25" s="38"/>
    </row>
    <row r="26" spans="2:8" x14ac:dyDescent="0.15">
      <c r="B26" s="16" t="s">
        <v>97</v>
      </c>
      <c r="C26" s="23">
        <f t="shared" ref="C26:H26" si="4">C17</f>
        <v>6.4870000000000001</v>
      </c>
      <c r="D26" s="23">
        <f t="shared" si="4"/>
        <v>7.0585431000000005</v>
      </c>
      <c r="E26" s="23">
        <f t="shared" si="4"/>
        <v>7.6710230100000016</v>
      </c>
      <c r="F26" s="23">
        <f t="shared" si="4"/>
        <v>8.3271045532500008</v>
      </c>
      <c r="G26" s="23">
        <f t="shared" si="4"/>
        <v>9.029616693300003</v>
      </c>
      <c r="H26" s="23">
        <f t="shared" si="4"/>
        <v>9.7815622859718783</v>
      </c>
    </row>
    <row r="27" spans="2:8" x14ac:dyDescent="0.15">
      <c r="B27" s="16" t="s">
        <v>105</v>
      </c>
      <c r="C27" s="23">
        <f>-C15*'Cover &amp; Assumptions'!$C$59</f>
        <v>-0.96477619999999986</v>
      </c>
      <c r="D27" s="23">
        <f>-D15*'Cover &amp; Assumptions'!$C$59</f>
        <v>-1.0130150099999999</v>
      </c>
      <c r="E27" s="23">
        <f>-E15*'Cover &amp; Assumptions'!$C$59</f>
        <v>-1.0636657604999999</v>
      </c>
      <c r="F27" s="23">
        <f>-F15*'Cover &amp; Assumptions'!$C$59</f>
        <v>-1.1168490485250002</v>
      </c>
      <c r="G27" s="23">
        <f>-G15*'Cover &amp; Assumptions'!$C$59</f>
        <v>-1.1726915009512502</v>
      </c>
      <c r="H27" s="23">
        <f>-H15*'Cover &amp; Assumptions'!$C$59</f>
        <v>-1.2313260759988129</v>
      </c>
    </row>
    <row r="28" spans="2:8" x14ac:dyDescent="0.15">
      <c r="B28" s="16" t="s">
        <v>106</v>
      </c>
      <c r="C28" s="23">
        <v>0</v>
      </c>
      <c r="D28" s="23">
        <f>-(D15-C15)*'Cover &amp; Assumptions'!$C$60</f>
        <v>-0.92420150000000112</v>
      </c>
      <c r="E28" s="23">
        <f>-(E15-D15)*'Cover &amp; Assumptions'!$C$60</f>
        <v>-0.97041157500000075</v>
      </c>
      <c r="F28" s="23">
        <f>-(F15-E15)*'Cover &amp; Assumptions'!$C$60</f>
        <v>-1.018932153750002</v>
      </c>
      <c r="G28" s="23">
        <f>-(G15-F15)*'Cover &amp; Assumptions'!$C$60</f>
        <v>-1.069878761437502</v>
      </c>
      <c r="H28" s="23">
        <f>-(H15-G15)*'Cover &amp; Assumptions'!$C$60</f>
        <v>-1.1233726995093771</v>
      </c>
    </row>
    <row r="29" spans="2:8" x14ac:dyDescent="0.15">
      <c r="B29" s="16" t="s">
        <v>107</v>
      </c>
      <c r="C29" s="23">
        <f t="shared" ref="C29:H29" si="5">C20</f>
        <v>0</v>
      </c>
      <c r="D29" s="23">
        <f t="shared" si="5"/>
        <v>-2.21</v>
      </c>
      <c r="E29" s="23">
        <f t="shared" si="5"/>
        <v>-2.0180877807250002</v>
      </c>
      <c r="F29" s="23">
        <f t="shared" si="5"/>
        <v>-1.7807546833762189</v>
      </c>
      <c r="G29" s="23">
        <f t="shared" si="5"/>
        <v>-1.4926184788651402</v>
      </c>
      <c r="H29" s="23">
        <f t="shared" si="5"/>
        <v>-1.1477881223729618</v>
      </c>
    </row>
    <row r="30" spans="2:8" x14ac:dyDescent="0.15">
      <c r="B30" s="16" t="s">
        <v>108</v>
      </c>
      <c r="C30" s="23">
        <f t="shared" ref="C30:H30" si="6">C22</f>
        <v>-1.08975</v>
      </c>
      <c r="D30" s="23">
        <f t="shared" si="6"/>
        <v>-0.65353577500000015</v>
      </c>
      <c r="E30" s="23">
        <f t="shared" si="6"/>
        <v>-0.82670380731875037</v>
      </c>
      <c r="F30" s="23">
        <f t="shared" si="6"/>
        <v>-1.0207309674684455</v>
      </c>
      <c r="G30" s="23">
        <f t="shared" si="6"/>
        <v>-1.2376002286087155</v>
      </c>
      <c r="H30" s="23">
        <f t="shared" si="6"/>
        <v>-1.4794617496497287</v>
      </c>
    </row>
    <row r="31" spans="2:8" x14ac:dyDescent="0.15">
      <c r="B31" s="13" t="s">
        <v>109</v>
      </c>
      <c r="C31" s="34">
        <f t="shared" ref="C31:H31" si="7">C26+C27+C28+C29+C30</f>
        <v>4.4324738000000004</v>
      </c>
      <c r="D31" s="34">
        <f t="shared" si="7"/>
        <v>2.257790814999999</v>
      </c>
      <c r="E31" s="34">
        <f t="shared" si="7"/>
        <v>2.7921540864562502</v>
      </c>
      <c r="F31" s="34">
        <f t="shared" si="7"/>
        <v>3.389837700130335</v>
      </c>
      <c r="G31" s="34">
        <f t="shared" si="7"/>
        <v>4.0568277234373946</v>
      </c>
      <c r="H31" s="34">
        <f t="shared" si="7"/>
        <v>4.7996136384409969</v>
      </c>
    </row>
    <row r="33" spans="2:8" x14ac:dyDescent="0.15">
      <c r="B33" s="12" t="s">
        <v>205</v>
      </c>
      <c r="C33" s="12"/>
      <c r="D33" s="12"/>
      <c r="E33" s="12"/>
      <c r="F33" s="12"/>
      <c r="G33" s="12"/>
      <c r="H33" s="12"/>
    </row>
    <row r="34" spans="2:8" ht="30" x14ac:dyDescent="0.15">
      <c r="B34" s="35" t="s">
        <v>89</v>
      </c>
      <c r="C34" s="36" t="s">
        <v>90</v>
      </c>
      <c r="D34" s="36" t="s">
        <v>91</v>
      </c>
      <c r="E34" s="36" t="s">
        <v>92</v>
      </c>
      <c r="F34" s="36" t="s">
        <v>93</v>
      </c>
      <c r="G34" s="36" t="s">
        <v>94</v>
      </c>
      <c r="H34" s="36" t="s">
        <v>95</v>
      </c>
    </row>
    <row r="35" spans="2:8" x14ac:dyDescent="0.15">
      <c r="B35" s="16" t="s">
        <v>206</v>
      </c>
      <c r="C35" s="33">
        <f>'Cover &amp; Assumptions'!$C$51</f>
        <v>26</v>
      </c>
      <c r="D35" s="23">
        <f>C35</f>
        <v>26</v>
      </c>
      <c r="E35" s="23">
        <f>D38</f>
        <v>23.742209185</v>
      </c>
      <c r="F35" s="23">
        <f>E38</f>
        <v>20.95005509854375</v>
      </c>
      <c r="G35" s="23">
        <f>F38</f>
        <v>17.560217398413414</v>
      </c>
      <c r="H35" s="23">
        <f>G38</f>
        <v>13.50338967497602</v>
      </c>
    </row>
    <row r="36" spans="2:8" x14ac:dyDescent="0.15">
      <c r="B36" s="16" t="s">
        <v>110</v>
      </c>
      <c r="C36" s="37">
        <f>'Cover &amp; Assumptions'!$C$62</f>
        <v>8.5000000000000006E-2</v>
      </c>
      <c r="D36" s="37">
        <f>'Cover &amp; Assumptions'!$C$62</f>
        <v>8.5000000000000006E-2</v>
      </c>
      <c r="E36" s="37">
        <f>'Cover &amp; Assumptions'!$C$62</f>
        <v>8.5000000000000006E-2</v>
      </c>
      <c r="F36" s="37">
        <f>'Cover &amp; Assumptions'!$C$62</f>
        <v>8.5000000000000006E-2</v>
      </c>
      <c r="G36" s="37">
        <f>'Cover &amp; Assumptions'!$C$62</f>
        <v>8.5000000000000006E-2</v>
      </c>
      <c r="H36" s="37">
        <f>'Cover &amp; Assumptions'!$C$62</f>
        <v>8.5000000000000006E-2</v>
      </c>
    </row>
    <row r="37" spans="2:8" x14ac:dyDescent="0.15">
      <c r="B37" s="16" t="s">
        <v>111</v>
      </c>
      <c r="C37" s="23">
        <v>0</v>
      </c>
      <c r="D37" s="23">
        <f>D35*D36</f>
        <v>2.21</v>
      </c>
      <c r="E37" s="23">
        <f>E35*E36</f>
        <v>2.0180877807250002</v>
      </c>
      <c r="F37" s="23">
        <f>F35*F36</f>
        <v>1.7807546833762189</v>
      </c>
      <c r="G37" s="23">
        <f>G35*G36</f>
        <v>1.4926184788651402</v>
      </c>
      <c r="H37" s="23">
        <f>H35*H36</f>
        <v>1.1477881223729618</v>
      </c>
    </row>
    <row r="38" spans="2:8" x14ac:dyDescent="0.15">
      <c r="B38" s="22" t="s">
        <v>112</v>
      </c>
      <c r="C38" s="23">
        <f>C35</f>
        <v>26</v>
      </c>
      <c r="D38" s="23">
        <f>MAX(0,D35-D39)</f>
        <v>23.742209185</v>
      </c>
      <c r="E38" s="23">
        <f>MAX(0,E35-E39)</f>
        <v>20.95005509854375</v>
      </c>
      <c r="F38" s="23">
        <f>MAX(0,F35-F39)</f>
        <v>17.560217398413414</v>
      </c>
      <c r="G38" s="23">
        <f>MAX(0,G35-G39)</f>
        <v>13.50338967497602</v>
      </c>
      <c r="H38" s="23">
        <f>MAX(0,H35-H39)</f>
        <v>8.7037760365350234</v>
      </c>
    </row>
    <row r="39" spans="2:8" x14ac:dyDescent="0.15">
      <c r="B39" s="16" t="s">
        <v>113</v>
      </c>
      <c r="C39" s="23">
        <v>0</v>
      </c>
      <c r="D39" s="23">
        <f>MIN(D35,MAX(0,D31)*'Cover &amp; Assumptions'!$C$63)</f>
        <v>2.257790814999999</v>
      </c>
      <c r="E39" s="23">
        <f>MIN(E35,MAX(0,E31)*'Cover &amp; Assumptions'!$C$63)</f>
        <v>2.7921540864562502</v>
      </c>
      <c r="F39" s="23">
        <f>MIN(F35,MAX(0,F31)*'Cover &amp; Assumptions'!$C$63)</f>
        <v>3.389837700130335</v>
      </c>
      <c r="G39" s="23">
        <f>MIN(G35,MAX(0,G31)*'Cover &amp; Assumptions'!$C$63)</f>
        <v>4.0568277234373946</v>
      </c>
      <c r="H39" s="23">
        <f>MIN(H35,MAX(0,H31)*'Cover &amp; Assumptions'!$C$63)</f>
        <v>4.7996136384409969</v>
      </c>
    </row>
    <row r="41" spans="2:8" x14ac:dyDescent="0.15">
      <c r="B41" s="22" t="s">
        <v>114</v>
      </c>
      <c r="C41" s="23">
        <f>H38-'Cover &amp; Assumptions'!$C$64</f>
        <v>5.7037760365350234</v>
      </c>
      <c r="D41" s="25" t="s">
        <v>115</v>
      </c>
    </row>
    <row r="42" spans="2:8" x14ac:dyDescent="0.15">
      <c r="B42" s="11" t="s">
        <v>148</v>
      </c>
      <c r="C42" s="11"/>
      <c r="D42" s="11"/>
      <c r="E42" s="11"/>
      <c r="F42" s="11"/>
      <c r="G42" s="11"/>
      <c r="H42" s="11"/>
    </row>
    <row r="44" spans="2:8" x14ac:dyDescent="0.15">
      <c r="B44" s="12" t="s">
        <v>149</v>
      </c>
      <c r="C44" s="12"/>
      <c r="D44" s="12"/>
      <c r="E44" s="12"/>
      <c r="F44" s="12"/>
      <c r="G44" s="12"/>
      <c r="H44" s="12"/>
    </row>
    <row r="45" spans="2:8" x14ac:dyDescent="0.15">
      <c r="B45" s="38" t="s">
        <v>150</v>
      </c>
      <c r="C45" s="38"/>
      <c r="D45" s="38"/>
      <c r="E45" s="38"/>
      <c r="F45" s="38"/>
      <c r="G45" s="38"/>
      <c r="H45" s="38"/>
    </row>
    <row r="46" spans="2:8" x14ac:dyDescent="0.15">
      <c r="B46" s="16" t="s">
        <v>116</v>
      </c>
      <c r="C46" s="23">
        <f>H17</f>
        <v>9.7815622859718783</v>
      </c>
    </row>
    <row r="47" spans="2:8" x14ac:dyDescent="0.15">
      <c r="B47" s="16" t="s">
        <v>117</v>
      </c>
      <c r="C47" s="39">
        <f>'Cover &amp; Assumptions'!$C$68</f>
        <v>7.5</v>
      </c>
    </row>
    <row r="48" spans="2:8" x14ac:dyDescent="0.15">
      <c r="B48" s="16" t="s">
        <v>118</v>
      </c>
      <c r="C48" s="23">
        <f>C46*C47</f>
        <v>73.361717144789083</v>
      </c>
    </row>
    <row r="49" spans="2:8" x14ac:dyDescent="0.15">
      <c r="B49" s="16" t="s">
        <v>119</v>
      </c>
      <c r="C49" s="23">
        <f>-C41</f>
        <v>-5.7037760365350234</v>
      </c>
    </row>
    <row r="50" spans="2:8" x14ac:dyDescent="0.15">
      <c r="B50" s="13" t="s">
        <v>120</v>
      </c>
      <c r="C50" s="34">
        <f>C48+C49</f>
        <v>67.657941108254064</v>
      </c>
    </row>
    <row r="52" spans="2:8" x14ac:dyDescent="0.15">
      <c r="B52" s="38" t="s">
        <v>121</v>
      </c>
      <c r="C52" s="38"/>
      <c r="D52" s="38"/>
      <c r="E52" s="38"/>
      <c r="F52" s="38"/>
      <c r="G52" s="38"/>
      <c r="H52" s="38"/>
    </row>
    <row r="53" spans="2:8" x14ac:dyDescent="0.15">
      <c r="B53" s="16" t="s">
        <v>122</v>
      </c>
      <c r="C53" s="23">
        <f>G9</f>
        <v>30.277999999999999</v>
      </c>
    </row>
    <row r="54" spans="2:8" x14ac:dyDescent="0.15">
      <c r="B54" s="16" t="s">
        <v>123</v>
      </c>
      <c r="C54" s="23">
        <f>C50</f>
        <v>67.657941108254064</v>
      </c>
    </row>
    <row r="55" spans="2:8" ht="16" x14ac:dyDescent="0.2">
      <c r="B55" s="40" t="s">
        <v>124</v>
      </c>
      <c r="C55" s="41">
        <f>C54/C53</f>
        <v>2.2345578013162717</v>
      </c>
    </row>
    <row r="56" spans="2:8" x14ac:dyDescent="0.15">
      <c r="B56" s="16" t="s">
        <v>77</v>
      </c>
      <c r="C56" s="42">
        <f>'Cover &amp; Assumptions'!$C$67</f>
        <v>5</v>
      </c>
    </row>
    <row r="57" spans="2:8" ht="16" x14ac:dyDescent="0.2">
      <c r="B57" s="40" t="s">
        <v>125</v>
      </c>
      <c r="C57" s="43">
        <f>(C55)^(1/C56)-1</f>
        <v>0.17446023941924094</v>
      </c>
    </row>
    <row r="59" spans="2:8" x14ac:dyDescent="0.15">
      <c r="B59" s="38" t="s">
        <v>126</v>
      </c>
      <c r="C59" s="38"/>
      <c r="D59" s="38"/>
      <c r="E59" s="38"/>
      <c r="F59" s="38"/>
      <c r="G59" s="38"/>
      <c r="H59" s="38"/>
    </row>
    <row r="60" spans="2:8" x14ac:dyDescent="0.15">
      <c r="B60" s="22" t="s">
        <v>127</v>
      </c>
      <c r="C60" s="44" t="s">
        <v>128</v>
      </c>
      <c r="D60" s="44" t="s">
        <v>129</v>
      </c>
      <c r="E60" s="44" t="s">
        <v>130</v>
      </c>
      <c r="F60" s="44" t="s">
        <v>131</v>
      </c>
      <c r="G60" s="44" t="s">
        <v>132</v>
      </c>
      <c r="H60" s="44" t="s">
        <v>133</v>
      </c>
    </row>
    <row r="61" spans="2:8" x14ac:dyDescent="0.15">
      <c r="B61" s="16" t="s">
        <v>134</v>
      </c>
      <c r="C61" s="23">
        <f>-C53</f>
        <v>-30.277999999999999</v>
      </c>
      <c r="D61" s="23">
        <v>0</v>
      </c>
      <c r="E61" s="23">
        <v>0</v>
      </c>
      <c r="F61" s="23">
        <v>0</v>
      </c>
      <c r="G61" s="23">
        <v>0</v>
      </c>
      <c r="H61" s="23">
        <f>C54</f>
        <v>67.657941108254064</v>
      </c>
    </row>
    <row r="62" spans="2:8" x14ac:dyDescent="0.15">
      <c r="B62" s="22" t="s">
        <v>135</v>
      </c>
      <c r="C62" s="18">
        <f>IRR(C61:H61)</f>
        <v>0.17446023941783184</v>
      </c>
      <c r="D62" s="25" t="s">
        <v>136</v>
      </c>
    </row>
    <row r="63" spans="2:8" x14ac:dyDescent="0.15">
      <c r="B63" s="11" t="s">
        <v>137</v>
      </c>
      <c r="C63" s="11"/>
      <c r="D63" s="11"/>
      <c r="E63" s="11"/>
      <c r="F63" s="11"/>
      <c r="G63" s="11"/>
      <c r="H63" s="11"/>
    </row>
    <row r="65" spans="2:8" x14ac:dyDescent="0.15">
      <c r="B65" s="12" t="s">
        <v>151</v>
      </c>
      <c r="C65" s="12"/>
      <c r="D65" s="12"/>
      <c r="E65" s="12"/>
      <c r="F65" s="12"/>
      <c r="G65" s="12"/>
      <c r="H65" s="12"/>
    </row>
    <row r="66" spans="2:8" x14ac:dyDescent="0.15">
      <c r="B66" s="11" t="s">
        <v>138</v>
      </c>
      <c r="C66" s="11"/>
      <c r="D66" s="11"/>
      <c r="E66" s="11"/>
      <c r="F66" s="11"/>
      <c r="G66" s="11"/>
      <c r="H66" s="11"/>
    </row>
    <row r="67" spans="2:8" x14ac:dyDescent="0.15">
      <c r="B67" s="16" t="s">
        <v>139</v>
      </c>
      <c r="C67" s="23">
        <f>G9</f>
        <v>30.277999999999999</v>
      </c>
    </row>
    <row r="68" spans="2:8" x14ac:dyDescent="0.15">
      <c r="B68" s="16" t="s">
        <v>140</v>
      </c>
      <c r="C68" s="23">
        <f>H17</f>
        <v>9.7815622859718783</v>
      </c>
    </row>
    <row r="69" spans="2:8" x14ac:dyDescent="0.15">
      <c r="B69" s="16" t="s">
        <v>141</v>
      </c>
      <c r="C69" s="23">
        <f>C41</f>
        <v>5.7037760365350234</v>
      </c>
    </row>
    <row r="71" spans="2:8" x14ac:dyDescent="0.15">
      <c r="B71" s="12" t="s">
        <v>152</v>
      </c>
      <c r="C71" s="12"/>
      <c r="D71" s="12"/>
      <c r="E71" s="12"/>
      <c r="F71" s="12"/>
      <c r="G71" s="12"/>
      <c r="H71" s="12"/>
    </row>
    <row r="72" spans="2:8" x14ac:dyDescent="0.15">
      <c r="B72" s="14" t="s">
        <v>142</v>
      </c>
      <c r="C72" s="45">
        <v>0.4</v>
      </c>
      <c r="D72" s="45">
        <v>0.45</v>
      </c>
      <c r="E72" s="45">
        <v>0.51</v>
      </c>
      <c r="F72" s="45">
        <v>0.55000000000000004</v>
      </c>
      <c r="G72" s="45">
        <v>0.6</v>
      </c>
    </row>
    <row r="73" spans="2:8" x14ac:dyDescent="0.15">
      <c r="B73" s="46">
        <v>7.5</v>
      </c>
      <c r="C73" s="47">
        <f>($C$68*$B73-$C$69)/('Cover &amp; Assumptions'!$C$37+'Cover &amp; Assumptions'!$C$43*(1-C$72)+'Cover &amp; Assumptions'!$C$50-'Cover &amp; Assumptions'!$C$51-'Cover &amp; Assumptions'!$C$52)</f>
        <v>1.7207004351031048</v>
      </c>
      <c r="D73" s="47">
        <f>($C$68*$B73-$C$69)/('Cover &amp; Assumptions'!$C$37+'Cover &amp; Assumptions'!$C$43*(1-D$72)+'Cover &amp; Assumptions'!$C$50-'Cover &amp; Assumptions'!$C$51-'Cover &amp; Assumptions'!$C$52)</f>
        <v>1.921554703443739</v>
      </c>
      <c r="E73" s="47">
        <f>($C$68*$B73-$C$69)/('Cover &amp; Assumptions'!$C$37+'Cover &amp; Assumptions'!$C$43*(1-E$72)+'Cover &amp; Assumptions'!$C$50-'Cover &amp; Assumptions'!$C$51-'Cover &amp; Assumptions'!$C$52)</f>
        <v>2.2345578013162717</v>
      </c>
      <c r="F73" s="47">
        <f>($C$68*$B73-$C$69)/('Cover &amp; Assumptions'!$C$37+'Cover &amp; Assumptions'!$C$43*(1-F$72)+'Cover &amp; Assumptions'!$C$50-'Cover &amp; Assumptions'!$C$51-'Cover &amp; Assumptions'!$C$52)</f>
        <v>2.5067781070120074</v>
      </c>
      <c r="G73" s="47">
        <f>($C$68*$B73-$C$69)/('Cover &amp; Assumptions'!$C$37+'Cover &amp; Assumptions'!$C$43*(1-G$72)+'Cover &amp; Assumptions'!$C$50-'Cover &amp; Assumptions'!$C$51-'Cover &amp; Assumptions'!$C$52)</f>
        <v>2.9570778456404745</v>
      </c>
    </row>
    <row r="74" spans="2:8" x14ac:dyDescent="0.15">
      <c r="B74" s="46">
        <v>8</v>
      </c>
      <c r="C74" s="47">
        <f>($C$68*$B74-$C$69)/('Cover &amp; Assumptions'!$C$37+'Cover &amp; Assumptions'!$C$43*(1-C$72)+'Cover &amp; Assumptions'!$C$50-'Cover &amp; Assumptions'!$C$51-'Cover &amp; Assumptions'!$C$52)</f>
        <v>1.8450844926561552</v>
      </c>
      <c r="D74" s="47">
        <f>($C$68*$B74-$C$69)/('Cover &amp; Assumptions'!$C$37+'Cover &amp; Assumptions'!$C$43*(1-D$72)+'Cover &amp; Assumptions'!$C$50-'Cover &amp; Assumptions'!$C$51-'Cover &amp; Assumptions'!$C$52)</f>
        <v>2.0604578884191986</v>
      </c>
      <c r="E74" s="47">
        <f>($C$68*$B74-$C$69)/('Cover &amp; Assumptions'!$C$37+'Cover &amp; Assumptions'!$C$43*(1-E$72)+'Cover &amp; Assumptions'!$C$50-'Cover &amp; Assumptions'!$C$51-'Cover &amp; Assumptions'!$C$52)</f>
        <v>2.3960870021547001</v>
      </c>
      <c r="F74" s="47">
        <f>($C$68*$B74-$C$69)/('Cover &amp; Assumptions'!$C$37+'Cover &amp; Assumptions'!$C$43*(1-F$72)+'Cover &amp; Assumptions'!$C$50-'Cover &amp; Assumptions'!$C$51-'Cover &amp; Assumptions'!$C$52)</f>
        <v>2.6879852631063366</v>
      </c>
      <c r="G74" s="47">
        <f>($C$68*$B74-$C$69)/('Cover &amp; Assumptions'!$C$37+'Cover &amp; Assumptions'!$C$43*(1-G$72)+'Cover &amp; Assumptions'!$C$50-'Cover &amp; Assumptions'!$C$51-'Cover &amp; Assumptions'!$C$52)</f>
        <v>3.1708357627290211</v>
      </c>
    </row>
    <row r="75" spans="2:8" x14ac:dyDescent="0.15">
      <c r="B75" s="46">
        <v>9</v>
      </c>
      <c r="C75" s="47">
        <f>($C$68*$B75-$C$69)/('Cover &amp; Assumptions'!$C$37+'Cover &amp; Assumptions'!$C$43*(1-C$72)+'Cover &amp; Assumptions'!$C$50-'Cover &amp; Assumptions'!$C$51-'Cover &amp; Assumptions'!$C$52)</f>
        <v>2.0938526077622557</v>
      </c>
      <c r="D75" s="47">
        <f>($C$68*$B75-$C$69)/('Cover &amp; Assumptions'!$C$37+'Cover &amp; Assumptions'!$C$43*(1-D$72)+'Cover &amp; Assumptions'!$C$50-'Cover &amp; Assumptions'!$C$51-'Cover &amp; Assumptions'!$C$52)</f>
        <v>2.3382642583701183</v>
      </c>
      <c r="E75" s="47">
        <f>($C$68*$B75-$C$69)/('Cover &amp; Assumptions'!$C$37+'Cover &amp; Assumptions'!$C$43*(1-E$72)+'Cover &amp; Assumptions'!$C$50-'Cover &amp; Assumptions'!$C$51-'Cover &amp; Assumptions'!$C$52)</f>
        <v>2.7191454038315572</v>
      </c>
      <c r="F75" s="47">
        <f>($C$68*$B75-$C$69)/('Cover &amp; Assumptions'!$C$37+'Cover &amp; Assumptions'!$C$43*(1-F$72)+'Cover &amp; Assumptions'!$C$50-'Cover &amp; Assumptions'!$C$51-'Cover &amp; Assumptions'!$C$52)</f>
        <v>3.0503995752949944</v>
      </c>
      <c r="G75" s="47">
        <f>($C$68*$B75-$C$69)/('Cover &amp; Assumptions'!$C$37+'Cover &amp; Assumptions'!$C$43*(1-G$72)+'Cover &amp; Assumptions'!$C$50-'Cover &amp; Assumptions'!$C$51-'Cover &amp; Assumptions'!$C$52)</f>
        <v>3.5983515969061131</v>
      </c>
    </row>
    <row r="76" spans="2:8" x14ac:dyDescent="0.15">
      <c r="B76" s="46">
        <v>10</v>
      </c>
      <c r="C76" s="47">
        <f>($C$68*$B76-$C$69)/('Cover &amp; Assumptions'!$C$37+'Cover &amp; Assumptions'!$C$43*(1-C$72)+'Cover &amp; Assumptions'!$C$50-'Cover &amp; Assumptions'!$C$51-'Cover &amp; Assumptions'!$C$52)</f>
        <v>2.3426207228683569</v>
      </c>
      <c r="D76" s="47">
        <f>($C$68*$B76-$C$69)/('Cover &amp; Assumptions'!$C$37+'Cover &amp; Assumptions'!$C$43*(1-D$72)+'Cover &amp; Assumptions'!$C$50-'Cover &amp; Assumptions'!$C$51-'Cover &amp; Assumptions'!$C$52)</f>
        <v>2.616070628321038</v>
      </c>
      <c r="E76" s="47">
        <f>($C$68*$B76-$C$69)/('Cover &amp; Assumptions'!$C$37+'Cover &amp; Assumptions'!$C$43*(1-E$72)+'Cover &amp; Assumptions'!$C$50-'Cover &amp; Assumptions'!$C$51-'Cover &amp; Assumptions'!$C$52)</f>
        <v>3.0422038055084144</v>
      </c>
      <c r="F76" s="47">
        <f>($C$68*$B76-$C$69)/('Cover &amp; Assumptions'!$C$37+'Cover &amp; Assumptions'!$C$43*(1-F$72)+'Cover &amp; Assumptions'!$C$50-'Cover &amp; Assumptions'!$C$51-'Cover &amp; Assumptions'!$C$52)</f>
        <v>3.4128138874836527</v>
      </c>
      <c r="G76" s="47">
        <f>($C$68*$B76-$C$69)/('Cover &amp; Assumptions'!$C$37+'Cover &amp; Assumptions'!$C$43*(1-G$72)+'Cover &amp; Assumptions'!$C$50-'Cover &amp; Assumptions'!$C$51-'Cover &amp; Assumptions'!$C$52)</f>
        <v>4.0258674310832063</v>
      </c>
    </row>
    <row r="77" spans="2:8" x14ac:dyDescent="0.15">
      <c r="B77" s="46">
        <v>11</v>
      </c>
      <c r="C77" s="47">
        <f>($C$68*$B77-$C$69)/('Cover &amp; Assumptions'!$C$37+'Cover &amp; Assumptions'!$C$43*(1-C$72)+'Cover &amp; Assumptions'!$C$50-'Cover &amp; Assumptions'!$C$51-'Cover &amp; Assumptions'!$C$52)</f>
        <v>2.5913888379744572</v>
      </c>
      <c r="D77" s="47">
        <f>($C$68*$B77-$C$69)/('Cover &amp; Assumptions'!$C$37+'Cover &amp; Assumptions'!$C$43*(1-D$72)+'Cover &amp; Assumptions'!$C$50-'Cover &amp; Assumptions'!$C$51-'Cover &amp; Assumptions'!$C$52)</f>
        <v>2.8938769982719572</v>
      </c>
      <c r="E77" s="47">
        <f>($C$68*$B77-$C$69)/('Cover &amp; Assumptions'!$C$37+'Cover &amp; Assumptions'!$C$43*(1-E$72)+'Cover &amp; Assumptions'!$C$50-'Cover &amp; Assumptions'!$C$51-'Cover &amp; Assumptions'!$C$52)</f>
        <v>3.3652622071852711</v>
      </c>
      <c r="F77" s="47">
        <f>($C$68*$B77-$C$69)/('Cover &amp; Assumptions'!$C$37+'Cover &amp; Assumptions'!$C$43*(1-F$72)+'Cover &amp; Assumptions'!$C$50-'Cover &amp; Assumptions'!$C$51-'Cover &amp; Assumptions'!$C$52)</f>
        <v>3.7752281996723105</v>
      </c>
      <c r="G77" s="47">
        <f>($C$68*$B77-$C$69)/('Cover &amp; Assumptions'!$C$37+'Cover &amp; Assumptions'!$C$43*(1-G$72)+'Cover &amp; Assumptions'!$C$50-'Cover &amp; Assumptions'!$C$51-'Cover &amp; Assumptions'!$C$52)</f>
        <v>4.4533832652602987</v>
      </c>
    </row>
    <row r="79" spans="2:8" x14ac:dyDescent="0.15">
      <c r="B79" s="12" t="s">
        <v>153</v>
      </c>
      <c r="C79" s="12"/>
      <c r="D79" s="12"/>
      <c r="E79" s="12"/>
      <c r="F79" s="12"/>
      <c r="G79" s="12"/>
      <c r="H79" s="12"/>
    </row>
    <row r="80" spans="2:8" x14ac:dyDescent="0.15">
      <c r="B80" s="14" t="s">
        <v>143</v>
      </c>
      <c r="C80" s="46">
        <v>7.5</v>
      </c>
      <c r="D80" s="46">
        <v>8</v>
      </c>
      <c r="E80" s="46">
        <v>9</v>
      </c>
      <c r="F80" s="46">
        <v>10</v>
      </c>
      <c r="G80" s="46">
        <v>11</v>
      </c>
    </row>
    <row r="81" spans="2:8" x14ac:dyDescent="0.15">
      <c r="B81" s="45">
        <v>0.02</v>
      </c>
      <c r="C81" s="48">
        <f>((('Cover &amp; Assumptions'!$C$31*(1+$B81)^'Cover &amp; Assumptions'!$C$67*'Cover &amp; Assumptions'!$C$57)*C$80-$C$69)/$C$67)^(1/'Cover &amp; Assumptions'!$C$67)-1</f>
        <v>0.13788807991134533</v>
      </c>
      <c r="D81" s="48">
        <f>((('Cover &amp; Assumptions'!$C$31*(1+$B81)^'Cover &amp; Assumptions'!$C$67*'Cover &amp; Assumptions'!$C$57)*D$80-$C$69)/$C$67)^(1/'Cover &amp; Assumptions'!$C$67)-1</f>
        <v>0.15409013274296024</v>
      </c>
      <c r="E81" s="48">
        <f>((('Cover &amp; Assumptions'!$C$31*(1+$B81)^'Cover &amp; Assumptions'!$C$67*'Cover &amp; Assumptions'!$C$57)*E$80-$C$69)/$C$67)^(1/'Cover &amp; Assumptions'!$C$67)-1</f>
        <v>0.18400548612397882</v>
      </c>
      <c r="F81" s="48">
        <f>((('Cover &amp; Assumptions'!$C$31*(1+$B81)^'Cover &amp; Assumptions'!$C$67*'Cover &amp; Assumptions'!$C$57)*F$80-$C$69)/$C$67)^(1/'Cover &amp; Assumptions'!$C$67)-1</f>
        <v>0.21117133855633075</v>
      </c>
      <c r="G81" s="48">
        <f>((('Cover &amp; Assumptions'!$C$31*(1+$B81)^'Cover &amp; Assumptions'!$C$67*'Cover &amp; Assumptions'!$C$57)*G$80-$C$69)/$C$67)^(1/'Cover &amp; Assumptions'!$C$67)-1</f>
        <v>0.23609822535017</v>
      </c>
    </row>
    <row r="82" spans="2:8" x14ac:dyDescent="0.15">
      <c r="B82" s="45">
        <v>3.5000000000000003E-2</v>
      </c>
      <c r="C82" s="48">
        <f>((('Cover &amp; Assumptions'!$C$31*(1+$B82)^'Cover &amp; Assumptions'!$C$67*'Cover &amp; Assumptions'!$C$57)*C$80-$C$69)/$C$67)^(1/'Cover &amp; Assumptions'!$C$67)-1</f>
        <v>0.15622252469894282</v>
      </c>
      <c r="D82" s="48">
        <f>((('Cover &amp; Assumptions'!$C$31*(1+$B82)^'Cover &amp; Assumptions'!$C$67*'Cover &amp; Assumptions'!$C$57)*D$80-$C$69)/$C$67)^(1/'Cover &amp; Assumptions'!$C$67)-1</f>
        <v>0.17257511080911914</v>
      </c>
      <c r="E82" s="48">
        <f>((('Cover &amp; Assumptions'!$C$31*(1+$B82)^'Cover &amp; Assumptions'!$C$67*'Cover &amp; Assumptions'!$C$57)*E$80-$C$69)/$C$67)^(1/'Cover &amp; Assumptions'!$C$67)-1</f>
        <v>0.20278359963119952</v>
      </c>
      <c r="F82" s="48">
        <f>((('Cover &amp; Assumptions'!$C$31*(1+$B82)^'Cover &amp; Assumptions'!$C$67*'Cover &amp; Assumptions'!$C$57)*F$80-$C$69)/$C$67)^(1/'Cover &amp; Assumptions'!$C$67)-1</f>
        <v>0.23023073801124183</v>
      </c>
      <c r="G82" s="48">
        <f>((('Cover &amp; Assumptions'!$C$31*(1+$B82)^'Cover &amp; Assumptions'!$C$67*'Cover &amp; Assumptions'!$C$57)*G$80-$C$69)/$C$67)^(1/'Cover &amp; Assumptions'!$C$67)-1</f>
        <v>0.25542675489780864</v>
      </c>
    </row>
    <row r="83" spans="2:8" x14ac:dyDescent="0.15">
      <c r="B83" s="45">
        <v>0.05</v>
      </c>
      <c r="C83" s="48">
        <f>((('Cover &amp; Assumptions'!$C$31*(1+$B83)^'Cover &amp; Assumptions'!$C$67*'Cover &amp; Assumptions'!$C$57)*C$80-$C$69)/$C$67)^(1/'Cover &amp; Assumptions'!$C$67)-1</f>
        <v>0.17446023941924094</v>
      </c>
      <c r="D83" s="48">
        <f>((('Cover &amp; Assumptions'!$C$31*(1+$B83)^'Cover &amp; Assumptions'!$C$67*'Cover &amp; Assumptions'!$C$57)*D$80-$C$69)/$C$67)^(1/'Cover &amp; Assumptions'!$C$67)-1</f>
        <v>0.19096916282355281</v>
      </c>
      <c r="E83" s="48">
        <f>((('Cover &amp; Assumptions'!$C$31*(1+$B83)^'Cover &amp; Assumptions'!$C$67*'Cover &amp; Assumptions'!$C$57)*E$80-$C$69)/$C$67)^(1/'Cover &amp; Assumptions'!$C$67)-1</f>
        <v>0.22148035418566692</v>
      </c>
      <c r="F83" s="48">
        <f>((('Cover &amp; Assumptions'!$C$31*(1+$B83)^'Cover &amp; Assumptions'!$C$67*'Cover &amp; Assumptions'!$C$57)*F$80-$C$69)/$C$67)^(1/'Cover &amp; Assumptions'!$C$67)-1</f>
        <v>0.24921635380085627</v>
      </c>
      <c r="G83" s="48">
        <f>((('Cover &amp; Assumptions'!$C$31*(1+$B83)^'Cover &amp; Assumptions'!$C$67*'Cover &amp; Assumptions'!$C$57)*G$80-$C$69)/$C$67)^(1/'Cover &amp; Assumptions'!$C$67)-1</f>
        <v>0.27468766043467463</v>
      </c>
    </row>
    <row r="84" spans="2:8" x14ac:dyDescent="0.15">
      <c r="B84" s="45">
        <v>6.5000000000000002E-2</v>
      </c>
      <c r="C84" s="48">
        <f>((('Cover &amp; Assumptions'!$C$31*(1+$B84)^'Cover &amp; Assumptions'!$C$67*'Cover &amp; Assumptions'!$C$57)*C$80-$C$69)/$C$67)^(1/'Cover &amp; Assumptions'!$C$67)-1</f>
        <v>0.19261023093642349</v>
      </c>
      <c r="D84" s="48">
        <f>((('Cover &amp; Assumptions'!$C$31*(1+$B84)^'Cover &amp; Assumptions'!$C$67*'Cover &amp; Assumptions'!$C$57)*D$80-$C$69)/$C$67)^(1/'Cover &amp; Assumptions'!$C$67)-1</f>
        <v>0.20928069169684749</v>
      </c>
      <c r="E84" s="48">
        <f>((('Cover &amp; Assumptions'!$C$31*(1+$B84)^'Cover &amp; Assumptions'!$C$67*'Cover &amp; Assumptions'!$C$57)*E$80-$C$69)/$C$67)^(1/'Cover &amp; Assumptions'!$C$67)-1</f>
        <v>0.24010317510363155</v>
      </c>
      <c r="F84" s="48">
        <f>((('Cover &amp; Assumptions'!$C$31*(1+$B84)^'Cover &amp; Assumptions'!$C$67*'Cover &amp; Assumptions'!$C$57)*F$80-$C$69)/$C$67)^(1/'Cover &amp; Assumptions'!$C$67)-1</f>
        <v>0.26813485309471297</v>
      </c>
      <c r="G84" s="48">
        <f>((('Cover &amp; Assumptions'!$C$31*(1+$B84)^'Cover &amp; Assumptions'!$C$67*'Cover &amp; Assumptions'!$C$57)*G$80-$C$69)/$C$67)^(1/'Cover &amp; Assumptions'!$C$67)-1</f>
        <v>0.2938870030673808</v>
      </c>
    </row>
    <row r="85" spans="2:8" x14ac:dyDescent="0.15">
      <c r="B85" s="45">
        <v>0.08</v>
      </c>
      <c r="C85" s="48">
        <f>((('Cover &amp; Assumptions'!$C$31*(1+$B85)^'Cover &amp; Assumptions'!$C$67*'Cover &amp; Assumptions'!$C$57)*C$80-$C$69)/$C$67)^(1/'Cover &amp; Assumptions'!$C$67)-1</f>
        <v>0.2106804902724122</v>
      </c>
      <c r="D85" s="48">
        <f>((('Cover &amp; Assumptions'!$C$31*(1+$B85)^'Cover &amp; Assumptions'!$C$67*'Cover &amp; Assumptions'!$C$57)*D$80-$C$69)/$C$67)^(1/'Cover &amp; Assumptions'!$C$67)-1</f>
        <v>0.22751716234954245</v>
      </c>
      <c r="E85" s="48">
        <f>((('Cover &amp; Assumptions'!$C$31*(1+$B85)^'Cover &amp; Assumptions'!$C$67*'Cover &amp; Assumptions'!$C$57)*E$80-$C$69)/$C$67)^(1/'Cover &amp; Assumptions'!$C$67)-1</f>
        <v>0.25865867303407075</v>
      </c>
      <c r="F85" s="48">
        <f>((('Cover &amp; Assumptions'!$C$31*(1+$B85)^'Cover &amp; Assumptions'!$C$67*'Cover &amp; Assumptions'!$C$57)*F$80-$C$69)/$C$67)^(1/'Cover &amp; Assumptions'!$C$67)-1</f>
        <v>0.28699218166189566</v>
      </c>
      <c r="G85" s="48">
        <f>((('Cover &amp; Assumptions'!$C$31*(1+$B85)^'Cover &amp; Assumptions'!$C$67*'Cover &amp; Assumptions'!$C$57)*G$80-$C$69)/$C$67)^(1/'Cover &amp; Assumptions'!$C$67)-1</f>
        <v>0.31303019551663058</v>
      </c>
    </row>
    <row r="87" spans="2:8" x14ac:dyDescent="0.15">
      <c r="B87" s="11" t="s">
        <v>144</v>
      </c>
      <c r="C87" s="11"/>
      <c r="D87" s="11"/>
      <c r="E87" s="11"/>
      <c r="F87" s="11"/>
      <c r="G87" s="11"/>
      <c r="H87" s="11"/>
    </row>
  </sheetData>
  <mergeCells count="20">
    <mergeCell ref="B66:H66"/>
    <mergeCell ref="B71:H71"/>
    <mergeCell ref="B79:H79"/>
    <mergeCell ref="B87:H87"/>
    <mergeCell ref="E10:F10"/>
    <mergeCell ref="B45:H45"/>
    <mergeCell ref="B52:H52"/>
    <mergeCell ref="B59:H59"/>
    <mergeCell ref="B63:H63"/>
    <mergeCell ref="B65:H65"/>
    <mergeCell ref="B13:H13"/>
    <mergeCell ref="B25:H25"/>
    <mergeCell ref="B33:H33"/>
    <mergeCell ref="B42:H42"/>
    <mergeCell ref="B44:H44"/>
    <mergeCell ref="B1:H1"/>
    <mergeCell ref="B3:H3"/>
    <mergeCell ref="B4:C4"/>
    <mergeCell ref="F4:G4"/>
    <mergeCell ref="B11:H11"/>
  </mergeCells>
  <printOptions headings="1"/>
  <pageMargins left="0.3" right="0.3" top="1" bottom="1" header="0.511811023622047" footer="0.511811023622047"/>
  <pageSetup scale="74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1ABA-6B88-D04E-9F84-F1D119B67763}">
  <dimension ref="B2:V68"/>
  <sheetViews>
    <sheetView zoomScale="140" zoomScaleNormal="140" workbookViewId="0">
      <selection activeCell="Q51" sqref="Q51"/>
    </sheetView>
  </sheetViews>
  <sheetFormatPr baseColWidth="10" defaultColWidth="8.6640625" defaultRowHeight="15" x14ac:dyDescent="0.2"/>
  <cols>
    <col min="1" max="1" width="3" style="2" customWidth="1"/>
    <col min="2" max="2" width="42" style="2" customWidth="1"/>
    <col min="3" max="3" width="12" style="2" customWidth="1"/>
    <col min="4" max="4" width="9" style="2" customWidth="1"/>
    <col min="5" max="5" width="12" style="2" customWidth="1"/>
    <col min="6" max="6" width="9.1640625" style="2" customWidth="1"/>
    <col min="7" max="9" width="8.6640625" style="2"/>
    <col min="15" max="15" width="8.6640625" style="2"/>
    <col min="16" max="16" width="19.6640625" style="2" customWidth="1"/>
    <col min="17" max="17" width="15.6640625" style="2" customWidth="1"/>
    <col min="18" max="18" width="14.33203125" style="2" customWidth="1"/>
    <col min="19" max="19" width="14.1640625" style="2" bestFit="1" customWidth="1"/>
    <col min="20" max="20" width="16.6640625" style="2" customWidth="1"/>
    <col min="21" max="22" width="14.1640625" style="2" bestFit="1" customWidth="1"/>
    <col min="23" max="16384" width="8.6640625" style="2"/>
  </cols>
  <sheetData>
    <row r="2" spans="2:22" ht="24" thickBot="1" x14ac:dyDescent="0.3">
      <c r="B2" s="1" t="s">
        <v>154</v>
      </c>
      <c r="C2" s="1"/>
      <c r="D2" s="1"/>
      <c r="E2" s="1"/>
      <c r="F2" s="1"/>
      <c r="J2" s="2"/>
      <c r="K2" s="2"/>
      <c r="L2" s="2"/>
      <c r="M2" s="2"/>
      <c r="N2" s="2"/>
      <c r="P2" s="52" t="s">
        <v>177</v>
      </c>
      <c r="Q2" s="52"/>
      <c r="T2" s="52" t="s">
        <v>181</v>
      </c>
      <c r="U2" s="52"/>
    </row>
    <row r="3" spans="2:22" ht="14" x14ac:dyDescent="0.15">
      <c r="B3" s="3" t="s">
        <v>0</v>
      </c>
      <c r="C3" s="3"/>
      <c r="D3" s="3"/>
      <c r="E3" s="3"/>
      <c r="F3" s="3"/>
      <c r="J3" s="2"/>
      <c r="K3" s="2"/>
      <c r="L3" s="2"/>
      <c r="M3" s="2"/>
      <c r="N3" s="2"/>
      <c r="P3" s="2" t="s">
        <v>178</v>
      </c>
      <c r="Q3" s="2">
        <f>15.9</f>
        <v>15.9</v>
      </c>
      <c r="T3" s="2" t="s">
        <v>173</v>
      </c>
      <c r="U3" s="2">
        <f>26</f>
        <v>26</v>
      </c>
    </row>
    <row r="4" spans="2:22" ht="14" x14ac:dyDescent="0.15">
      <c r="B4" s="3" t="s">
        <v>1</v>
      </c>
      <c r="C4" s="3"/>
      <c r="D4" s="3"/>
      <c r="E4" s="3"/>
      <c r="F4" s="3"/>
      <c r="J4" s="2"/>
      <c r="K4" s="2"/>
      <c r="L4" s="2"/>
      <c r="M4" s="2"/>
      <c r="N4" s="2"/>
      <c r="P4" s="2" t="s">
        <v>84</v>
      </c>
      <c r="Q4" s="2">
        <f>2.1</f>
        <v>2.1</v>
      </c>
      <c r="T4" s="2" t="s">
        <v>182</v>
      </c>
      <c r="U4" s="2">
        <f>2</f>
        <v>2</v>
      </c>
    </row>
    <row r="5" spans="2:22" x14ac:dyDescent="0.2">
      <c r="P5" s="2" t="s">
        <v>179</v>
      </c>
      <c r="Q5" s="2">
        <f>40.3</f>
        <v>40.299999999999997</v>
      </c>
      <c r="T5" s="2" t="s">
        <v>176</v>
      </c>
      <c r="U5" s="2">
        <f>Q6-SUM(U3:U4)</f>
        <v>30.299999999999997</v>
      </c>
    </row>
    <row r="6" spans="2:22" ht="14" x14ac:dyDescent="0.15">
      <c r="B6" s="12" t="s">
        <v>159</v>
      </c>
      <c r="C6" s="12"/>
      <c r="D6" s="12"/>
      <c r="E6" s="12"/>
      <c r="F6" s="12"/>
      <c r="G6" s="12"/>
      <c r="H6" s="12"/>
      <c r="I6" s="12"/>
      <c r="J6" s="2"/>
      <c r="K6" s="2"/>
      <c r="L6" s="2"/>
      <c r="M6" s="2"/>
      <c r="N6" s="2"/>
      <c r="P6" s="53" t="s">
        <v>180</v>
      </c>
      <c r="Q6" s="53">
        <f>SUM(Q3:Q5)</f>
        <v>58.3</v>
      </c>
      <c r="T6" s="53" t="s">
        <v>180</v>
      </c>
      <c r="U6" s="53">
        <f>SUM(U3:U5)</f>
        <v>58.3</v>
      </c>
    </row>
    <row r="7" spans="2:22" ht="14" x14ac:dyDescent="0.15">
      <c r="B7" s="13" t="s">
        <v>13</v>
      </c>
      <c r="C7" s="14" t="s">
        <v>14</v>
      </c>
      <c r="D7" s="14" t="s">
        <v>15</v>
      </c>
      <c r="E7" s="14" t="s">
        <v>16</v>
      </c>
      <c r="F7" s="15" t="s">
        <v>17</v>
      </c>
      <c r="G7" s="14" t="s">
        <v>18</v>
      </c>
      <c r="H7" s="14" t="s">
        <v>19</v>
      </c>
      <c r="I7" s="14" t="s">
        <v>20</v>
      </c>
      <c r="J7" s="2"/>
      <c r="K7" s="2"/>
      <c r="L7" s="2"/>
      <c r="M7" s="2"/>
      <c r="N7" s="2"/>
    </row>
    <row r="8" spans="2:22" ht="14" x14ac:dyDescent="0.15">
      <c r="B8" s="16" t="s">
        <v>21</v>
      </c>
      <c r="C8" s="17">
        <v>9.44</v>
      </c>
      <c r="D8" s="17">
        <v>-5.758</v>
      </c>
      <c r="E8" s="17">
        <v>-3.012</v>
      </c>
      <c r="F8" s="17">
        <v>2.2029999999999998</v>
      </c>
      <c r="G8" s="17">
        <v>4.1210000000000004</v>
      </c>
      <c r="H8" s="17">
        <v>5.9630000000000001</v>
      </c>
      <c r="I8" s="17">
        <v>6.4870000000000001</v>
      </c>
      <c r="J8" s="2"/>
      <c r="K8" s="2"/>
      <c r="L8" s="2"/>
      <c r="M8" s="2"/>
      <c r="N8" s="2"/>
      <c r="R8" s="2" t="s">
        <v>183</v>
      </c>
    </row>
    <row r="9" spans="2:22" ht="14" x14ac:dyDescent="0.15">
      <c r="B9" s="16" t="s">
        <v>22</v>
      </c>
      <c r="C9" s="18">
        <v>0.18490000000000001</v>
      </c>
      <c r="D9" s="18">
        <v>-0.13539999999999999</v>
      </c>
      <c r="E9" s="18">
        <v>-0.1353</v>
      </c>
      <c r="F9" s="18">
        <v>8.3000000000000004E-2</v>
      </c>
      <c r="G9" s="18">
        <v>0.1158</v>
      </c>
      <c r="H9" s="18">
        <v>0.14230000000000001</v>
      </c>
      <c r="I9" s="18">
        <v>0.1439</v>
      </c>
      <c r="J9" s="2"/>
      <c r="K9" s="2"/>
      <c r="L9" s="2"/>
      <c r="M9" s="2"/>
      <c r="N9" s="2"/>
    </row>
    <row r="10" spans="2:22" ht="14" x14ac:dyDescent="0.15">
      <c r="B10" s="11" t="s">
        <v>23</v>
      </c>
      <c r="C10" s="11"/>
      <c r="D10" s="11"/>
      <c r="E10" s="11"/>
      <c r="F10" s="11"/>
      <c r="J10" s="2"/>
      <c r="K10" s="2"/>
      <c r="L10" s="2"/>
      <c r="M10" s="2"/>
      <c r="N10" s="2"/>
    </row>
    <row r="11" spans="2:22" thickBot="1" x14ac:dyDescent="0.2">
      <c r="J11" s="2"/>
      <c r="K11" s="2"/>
      <c r="L11" s="2"/>
      <c r="M11" s="2"/>
      <c r="N11" s="2"/>
      <c r="P11" s="54" t="s">
        <v>184</v>
      </c>
      <c r="Q11" s="54"/>
      <c r="R11" s="54"/>
      <c r="S11" s="54"/>
      <c r="T11" s="54"/>
      <c r="U11" s="54"/>
      <c r="V11" s="54"/>
    </row>
    <row r="12" spans="2:22" ht="17" x14ac:dyDescent="0.2">
      <c r="B12" s="19" t="s">
        <v>160</v>
      </c>
      <c r="C12" s="19"/>
      <c r="D12" s="19"/>
      <c r="E12" s="19"/>
      <c r="F12" s="19"/>
      <c r="J12" s="2"/>
      <c r="K12" s="2"/>
      <c r="L12" s="2"/>
      <c r="M12" s="2"/>
      <c r="N12" s="2"/>
      <c r="Q12" s="2" t="s">
        <v>185</v>
      </c>
      <c r="R12" s="2" t="s">
        <v>186</v>
      </c>
      <c r="S12" s="2" t="s">
        <v>187</v>
      </c>
      <c r="T12" s="2" t="s">
        <v>188</v>
      </c>
      <c r="U12" s="2" t="s">
        <v>189</v>
      </c>
      <c r="V12" s="2" t="s">
        <v>190</v>
      </c>
    </row>
    <row r="13" spans="2:22" ht="14" x14ac:dyDescent="0.15">
      <c r="J13" s="2"/>
      <c r="K13" s="2"/>
      <c r="L13" s="2"/>
      <c r="M13" s="2"/>
      <c r="N13" s="2"/>
      <c r="P13" s="2" t="s">
        <v>191</v>
      </c>
      <c r="Q13" s="55">
        <f>C15</f>
        <v>45.082999999999998</v>
      </c>
      <c r="R13" s="2">
        <f>Q13*(1+C40)</f>
        <v>47.337150000000001</v>
      </c>
      <c r="S13" s="2">
        <f>R13*(1+C40)</f>
        <v>49.704007500000003</v>
      </c>
      <c r="T13" s="2">
        <f>S13*(1+C40)</f>
        <v>52.189207875000008</v>
      </c>
      <c r="U13" s="2">
        <f>T13*(1+C40)</f>
        <v>54.798668268750014</v>
      </c>
      <c r="V13" s="2">
        <f>U13*(1+C40)</f>
        <v>57.538601682187519</v>
      </c>
    </row>
    <row r="14" spans="2:22" x14ac:dyDescent="0.2">
      <c r="B14" s="4" t="s">
        <v>161</v>
      </c>
      <c r="C14" s="4"/>
      <c r="D14" s="4"/>
      <c r="E14" s="4"/>
      <c r="F14" s="4"/>
      <c r="G14" s="4"/>
      <c r="H14" s="4"/>
      <c r="I14" s="4"/>
      <c r="P14" s="2" t="s">
        <v>192</v>
      </c>
      <c r="Q14" s="37">
        <f>'Cover &amp; Assumptions'!$C$36</f>
        <v>0.1438901581527405</v>
      </c>
      <c r="R14" s="18">
        <f>'Cover &amp; Assumptions'!$C$36+('Cover &amp; Assumptions'!$C$57-'Cover &amp; Assumptions'!$C$36)*1/'Cover &amp; Assumptions'!$C$67</f>
        <v>0.14911212652219241</v>
      </c>
      <c r="S14" s="18">
        <f>'Cover &amp; Assumptions'!$C$36+('Cover &amp; Assumptions'!$C$57-'Cover &amp; Assumptions'!$C$36)*2/'Cover &amp; Assumptions'!$C$67</f>
        <v>0.15433409489164432</v>
      </c>
      <c r="T14" s="18">
        <f>'Cover &amp; Assumptions'!$C$36+('Cover &amp; Assumptions'!$C$57-'Cover &amp; Assumptions'!$C$36)*3/'Cover &amp; Assumptions'!$C$67</f>
        <v>0.1595560632610962</v>
      </c>
      <c r="U14" s="18">
        <f>'Cover &amp; Assumptions'!$C$36+('Cover &amp; Assumptions'!$C$57-'Cover &amp; Assumptions'!$C$36)*4/'Cover &amp; Assumptions'!$C$67</f>
        <v>0.16477803163054811</v>
      </c>
      <c r="V14" s="18">
        <f>'Cover &amp; Assumptions'!$C$36+('Cover &amp; Assumptions'!$C$57-'Cover &amp; Assumptions'!$C$36)*5/'Cover &amp; Assumptions'!$C$67</f>
        <v>0.17</v>
      </c>
    </row>
    <row r="15" spans="2:22" ht="14" x14ac:dyDescent="0.15">
      <c r="B15" s="16" t="s">
        <v>24</v>
      </c>
      <c r="C15" s="17">
        <v>45.082999999999998</v>
      </c>
      <c r="E15" s="20" t="s">
        <v>6</v>
      </c>
      <c r="F15" s="21" t="s">
        <v>25</v>
      </c>
      <c r="J15" s="2"/>
      <c r="K15" s="2"/>
      <c r="L15" s="2"/>
      <c r="M15" s="2"/>
      <c r="N15" s="2"/>
      <c r="P15" s="58" t="s">
        <v>193</v>
      </c>
      <c r="Q15" s="55">
        <f>Q13*Q14</f>
        <v>6.4870000000000001</v>
      </c>
      <c r="R15" s="55">
        <f t="shared" ref="R15:V15" si="0">R13*R14</f>
        <v>7.0585431000000005</v>
      </c>
      <c r="S15" s="55">
        <f t="shared" si="0"/>
        <v>7.6710230100000016</v>
      </c>
      <c r="T15" s="55">
        <f t="shared" si="0"/>
        <v>8.3271045532500008</v>
      </c>
      <c r="U15" s="55">
        <f t="shared" si="0"/>
        <v>9.029616693300003</v>
      </c>
      <c r="V15" s="55">
        <f t="shared" si="0"/>
        <v>9.7815622859718783</v>
      </c>
    </row>
    <row r="16" spans="2:22" ht="14" x14ac:dyDescent="0.15">
      <c r="B16" s="16" t="s">
        <v>26</v>
      </c>
      <c r="C16" s="17">
        <v>12.2</v>
      </c>
      <c r="E16" s="20" t="s">
        <v>6</v>
      </c>
      <c r="F16" s="21" t="s">
        <v>27</v>
      </c>
      <c r="J16" s="2"/>
      <c r="K16" s="2"/>
      <c r="L16" s="2"/>
      <c r="M16" s="2"/>
      <c r="N16" s="2"/>
      <c r="P16" s="2" t="s">
        <v>194</v>
      </c>
      <c r="Q16" s="55">
        <f>Q13*4.7%</f>
        <v>2.1189010000000001</v>
      </c>
      <c r="R16" s="55">
        <f t="shared" ref="R16:V16" si="1">R13*4.7%</f>
        <v>2.22484605</v>
      </c>
      <c r="S16" s="55">
        <f t="shared" si="1"/>
        <v>2.3360883525</v>
      </c>
      <c r="T16" s="55">
        <f t="shared" si="1"/>
        <v>2.4528927701250005</v>
      </c>
      <c r="U16" s="55">
        <f t="shared" si="1"/>
        <v>2.5755374086312508</v>
      </c>
      <c r="V16" s="55">
        <f t="shared" si="1"/>
        <v>2.7043142790628134</v>
      </c>
    </row>
    <row r="17" spans="2:22" ht="14" x14ac:dyDescent="0.15">
      <c r="B17" s="16" t="s">
        <v>28</v>
      </c>
      <c r="C17" s="17">
        <v>4.359</v>
      </c>
      <c r="E17" s="20" t="s">
        <v>6</v>
      </c>
      <c r="F17" s="21" t="s">
        <v>29</v>
      </c>
      <c r="J17" s="2"/>
      <c r="K17" s="2"/>
      <c r="L17" s="2"/>
      <c r="M17" s="2"/>
      <c r="N17" s="2"/>
      <c r="P17" s="58" t="s">
        <v>99</v>
      </c>
      <c r="Q17" s="57">
        <f>Q15-Q16</f>
        <v>4.368099</v>
      </c>
      <c r="R17" s="57">
        <f t="shared" ref="R17:V17" si="2">R15-R16</f>
        <v>4.8336970500000005</v>
      </c>
      <c r="S17" s="57">
        <f t="shared" si="2"/>
        <v>5.3349346575000016</v>
      </c>
      <c r="T17" s="57">
        <f t="shared" si="2"/>
        <v>5.8742117831250003</v>
      </c>
      <c r="U17" s="57">
        <f t="shared" si="2"/>
        <v>6.4540792846687527</v>
      </c>
      <c r="V17" s="57">
        <f t="shared" si="2"/>
        <v>7.0772480069090644</v>
      </c>
    </row>
    <row r="18" spans="2:22" ht="14" x14ac:dyDescent="0.15">
      <c r="B18" s="16" t="s">
        <v>30</v>
      </c>
      <c r="C18" s="17">
        <v>2.1280000000000001</v>
      </c>
      <c r="E18" s="20" t="s">
        <v>6</v>
      </c>
      <c r="F18" s="21" t="s">
        <v>162</v>
      </c>
      <c r="J18" s="2"/>
      <c r="K18" s="2"/>
      <c r="L18" s="2"/>
      <c r="M18" s="2"/>
      <c r="N18" s="2"/>
    </row>
    <row r="19" spans="2:22" ht="14" x14ac:dyDescent="0.15">
      <c r="B19" s="22" t="s">
        <v>31</v>
      </c>
      <c r="C19" s="23">
        <f>C17+C18</f>
        <v>6.4870000000000001</v>
      </c>
      <c r="E19" s="24" t="s">
        <v>8</v>
      </c>
      <c r="F19" s="25" t="s">
        <v>163</v>
      </c>
      <c r="J19" s="2"/>
      <c r="K19" s="2"/>
      <c r="L19" s="2"/>
      <c r="M19" s="2"/>
      <c r="N19" s="2"/>
      <c r="P19" s="2" t="s">
        <v>195</v>
      </c>
      <c r="Q19" s="2">
        <f>Q36</f>
        <v>0</v>
      </c>
      <c r="R19" s="2">
        <f t="shared" ref="R19:V19" si="3">R36</f>
        <v>-2.21</v>
      </c>
      <c r="S19" s="2">
        <f t="shared" si="3"/>
        <v>-2.0166813390625005</v>
      </c>
      <c r="T19" s="2">
        <f t="shared" si="3"/>
        <v>-1.7777818173121096</v>
      </c>
      <c r="U19" s="2">
        <f t="shared" si="3"/>
        <v>-1.4879054906565379</v>
      </c>
      <c r="V19" s="2">
        <f t="shared" si="3"/>
        <v>-1.1411465491365094</v>
      </c>
    </row>
    <row r="20" spans="2:22" ht="14" x14ac:dyDescent="0.15">
      <c r="B20" s="16" t="s">
        <v>32</v>
      </c>
      <c r="C20" s="18">
        <f>C19/C15</f>
        <v>0.1438901581527405</v>
      </c>
      <c r="E20" s="24" t="s">
        <v>8</v>
      </c>
      <c r="F20" s="25" t="s">
        <v>33</v>
      </c>
      <c r="J20" s="2"/>
      <c r="K20" s="2"/>
      <c r="L20" s="2"/>
      <c r="M20" s="2"/>
      <c r="N20" s="2"/>
      <c r="P20" s="2" t="s">
        <v>196</v>
      </c>
      <c r="Q20" s="57">
        <f>Q17-Q19</f>
        <v>4.368099</v>
      </c>
      <c r="R20" s="57">
        <f>R17+R19</f>
        <v>2.6236970500000005</v>
      </c>
      <c r="S20" s="57">
        <f t="shared" ref="S20:V20" si="4">S17+S19</f>
        <v>3.3182533184375012</v>
      </c>
      <c r="T20" s="57">
        <f t="shared" si="4"/>
        <v>4.0964299658128907</v>
      </c>
      <c r="U20" s="57">
        <f t="shared" si="4"/>
        <v>4.9661737940122146</v>
      </c>
      <c r="V20" s="57">
        <f t="shared" si="4"/>
        <v>5.9361014577725548</v>
      </c>
    </row>
    <row r="21" spans="2:22" x14ac:dyDescent="0.2">
      <c r="B21" s="16" t="s">
        <v>34</v>
      </c>
      <c r="C21" s="17">
        <v>15.9</v>
      </c>
      <c r="E21" s="20" t="s">
        <v>6</v>
      </c>
      <c r="F21" s="21" t="s">
        <v>35</v>
      </c>
      <c r="P21" s="2" t="s">
        <v>197</v>
      </c>
      <c r="Q21" s="2">
        <f>-(MAX(0,Q20)*25%)</f>
        <v>-1.09202475</v>
      </c>
      <c r="R21" s="2">
        <f t="shared" ref="R21:V21" si="5">-(MAX(0,R20)*25%)</f>
        <v>-0.65592426250000013</v>
      </c>
      <c r="S21" s="2">
        <f t="shared" si="5"/>
        <v>-0.82956332960937529</v>
      </c>
      <c r="T21" s="2">
        <f t="shared" si="5"/>
        <v>-1.0241074914532227</v>
      </c>
      <c r="U21" s="2">
        <f t="shared" si="5"/>
        <v>-1.2415434485030536</v>
      </c>
      <c r="V21" s="2">
        <f t="shared" si="5"/>
        <v>-1.4840253644431387</v>
      </c>
    </row>
    <row r="22" spans="2:22" ht="14" x14ac:dyDescent="0.15">
      <c r="B22" s="16" t="s">
        <v>36</v>
      </c>
      <c r="C22" s="17">
        <v>0.6</v>
      </c>
      <c r="E22" s="20" t="s">
        <v>6</v>
      </c>
      <c r="F22" s="21" t="s">
        <v>37</v>
      </c>
      <c r="J22" s="2"/>
      <c r="K22" s="2"/>
      <c r="L22" s="2"/>
      <c r="M22" s="2"/>
      <c r="N22" s="2"/>
      <c r="P22" s="59" t="s">
        <v>198</v>
      </c>
      <c r="Q22" s="60">
        <f>SUM(Q20:Q21)</f>
        <v>3.2760742499999997</v>
      </c>
      <c r="R22" s="60">
        <f t="shared" ref="R22:V22" si="6">SUM(R20:R21)</f>
        <v>1.9677727875000004</v>
      </c>
      <c r="S22" s="60">
        <f t="shared" si="6"/>
        <v>2.488689988828126</v>
      </c>
      <c r="T22" s="60">
        <f t="shared" si="6"/>
        <v>3.0723224743596678</v>
      </c>
      <c r="U22" s="60">
        <f t="shared" si="6"/>
        <v>3.7246303455091612</v>
      </c>
      <c r="V22" s="60">
        <f t="shared" si="6"/>
        <v>4.4520760933294161</v>
      </c>
    </row>
    <row r="23" spans="2:22" ht="14" x14ac:dyDescent="0.15">
      <c r="B23" s="16" t="s">
        <v>38</v>
      </c>
      <c r="C23" s="17">
        <v>4.8380000000000001</v>
      </c>
      <c r="E23" s="20" t="s">
        <v>6</v>
      </c>
      <c r="F23" s="21" t="s">
        <v>162</v>
      </c>
      <c r="J23" s="2"/>
      <c r="K23" s="2"/>
      <c r="L23" s="2"/>
      <c r="M23" s="2"/>
      <c r="N23" s="2"/>
    </row>
    <row r="24" spans="2:22" ht="14" x14ac:dyDescent="0.15">
      <c r="B24" s="22" t="s">
        <v>39</v>
      </c>
      <c r="C24" s="23">
        <f>C21+C22-C23</f>
        <v>11.661999999999999</v>
      </c>
      <c r="E24" s="24" t="s">
        <v>8</v>
      </c>
      <c r="F24" s="25" t="s">
        <v>40</v>
      </c>
      <c r="J24" s="2"/>
      <c r="K24" s="2"/>
      <c r="L24" s="2"/>
      <c r="M24" s="2"/>
      <c r="N24" s="2"/>
      <c r="P24" s="2" t="s">
        <v>199</v>
      </c>
    </row>
    <row r="25" spans="2:22" ht="14" x14ac:dyDescent="0.15">
      <c r="B25" s="16" t="s">
        <v>41</v>
      </c>
      <c r="C25" s="17">
        <v>33.200000000000003</v>
      </c>
      <c r="E25" s="20" t="s">
        <v>6</v>
      </c>
      <c r="F25" s="21" t="s">
        <v>164</v>
      </c>
      <c r="J25" s="2"/>
      <c r="K25" s="2"/>
      <c r="L25" s="2"/>
      <c r="M25" s="2"/>
      <c r="N25" s="2"/>
      <c r="P25" s="58" t="s">
        <v>97</v>
      </c>
      <c r="Q25" s="55">
        <f>Q15</f>
        <v>6.4870000000000001</v>
      </c>
      <c r="R25" s="55">
        <f t="shared" ref="R25:V25" si="7">R15</f>
        <v>7.0585431000000005</v>
      </c>
      <c r="S25" s="55">
        <f t="shared" si="7"/>
        <v>7.6710230100000016</v>
      </c>
      <c r="T25" s="55">
        <f t="shared" si="7"/>
        <v>8.3271045532500008</v>
      </c>
      <c r="U25" s="55">
        <f t="shared" si="7"/>
        <v>9.029616693300003</v>
      </c>
      <c r="V25" s="55">
        <f t="shared" si="7"/>
        <v>9.7815622859718783</v>
      </c>
    </row>
    <row r="26" spans="2:22" ht="14" x14ac:dyDescent="0.15">
      <c r="B26" s="16" t="s">
        <v>42</v>
      </c>
      <c r="C26" s="17">
        <v>49</v>
      </c>
      <c r="E26" s="20" t="s">
        <v>6</v>
      </c>
      <c r="F26" s="21" t="s">
        <v>165</v>
      </c>
      <c r="J26" s="2"/>
      <c r="K26" s="2"/>
      <c r="L26" s="2"/>
      <c r="M26" s="2"/>
      <c r="N26" s="2"/>
      <c r="P26" s="2" t="s">
        <v>200</v>
      </c>
      <c r="Q26" s="2">
        <f>-Q13*2.1%</f>
        <v>-0.946743</v>
      </c>
      <c r="R26" s="2">
        <f t="shared" ref="R26:V26" si="8">-R13*2.1%</f>
        <v>-0.99408015000000005</v>
      </c>
      <c r="S26" s="2">
        <f t="shared" si="8"/>
        <v>-1.0437841575000002</v>
      </c>
      <c r="T26" s="2">
        <f t="shared" si="8"/>
        <v>-1.0959733653750003</v>
      </c>
      <c r="U26" s="2">
        <f t="shared" si="8"/>
        <v>-1.1507720336437504</v>
      </c>
      <c r="V26" s="2">
        <f t="shared" si="8"/>
        <v>-1.2083106353259381</v>
      </c>
    </row>
    <row r="27" spans="2:22" x14ac:dyDescent="0.2">
      <c r="B27" s="22" t="s">
        <v>43</v>
      </c>
      <c r="C27" s="23">
        <f>C25+C26</f>
        <v>82.2</v>
      </c>
      <c r="E27" s="20" t="s">
        <v>6</v>
      </c>
      <c r="F27" s="25" t="s">
        <v>44</v>
      </c>
      <c r="P27" s="2" t="s">
        <v>201</v>
      </c>
      <c r="Q27" s="2">
        <f>0</f>
        <v>0</v>
      </c>
      <c r="R27" s="2">
        <f>-((R13-Q13)*41%)</f>
        <v>-0.92420150000000112</v>
      </c>
      <c r="S27" s="2">
        <f t="shared" ref="S27:V27" si="9">-((S13-R13)*41%)</f>
        <v>-0.97041157500000075</v>
      </c>
      <c r="T27" s="2">
        <f t="shared" si="9"/>
        <v>-1.018932153750002</v>
      </c>
      <c r="U27" s="2">
        <f t="shared" si="9"/>
        <v>-1.069878761437502</v>
      </c>
      <c r="V27" s="2">
        <f t="shared" si="9"/>
        <v>-1.1233726995093771</v>
      </c>
    </row>
    <row r="28" spans="2:22" ht="14" x14ac:dyDescent="0.15">
      <c r="J28" s="2"/>
      <c r="K28" s="2"/>
      <c r="L28" s="2"/>
      <c r="M28" s="2"/>
      <c r="N28" s="2"/>
      <c r="P28" s="2" t="s">
        <v>202</v>
      </c>
      <c r="Q28" s="2">
        <f>Q36</f>
        <v>0</v>
      </c>
      <c r="R28" s="2">
        <f t="shared" ref="R28:V28" si="10">R36</f>
        <v>-2.21</v>
      </c>
      <c r="S28" s="2">
        <f t="shared" si="10"/>
        <v>-2.0166813390625005</v>
      </c>
      <c r="T28" s="2">
        <f t="shared" si="10"/>
        <v>-1.7777818173121096</v>
      </c>
      <c r="U28" s="2">
        <f t="shared" si="10"/>
        <v>-1.4879054906565379</v>
      </c>
      <c r="V28" s="2">
        <f t="shared" si="10"/>
        <v>-1.1411465491365094</v>
      </c>
    </row>
    <row r="29" spans="2:22" x14ac:dyDescent="0.2">
      <c r="B29" s="4" t="s">
        <v>166</v>
      </c>
      <c r="C29" s="4"/>
      <c r="D29" s="4"/>
      <c r="E29" s="4"/>
      <c r="F29" s="4"/>
      <c r="G29" s="4"/>
      <c r="H29" s="4"/>
      <c r="I29" s="4"/>
      <c r="P29" s="2" t="s">
        <v>203</v>
      </c>
      <c r="Q29" s="2">
        <f>Q21</f>
        <v>-1.09202475</v>
      </c>
      <c r="R29" s="2">
        <f t="shared" ref="R29:V29" si="11">R21</f>
        <v>-0.65592426250000013</v>
      </c>
      <c r="S29" s="2">
        <f t="shared" si="11"/>
        <v>-0.82956332960937529</v>
      </c>
      <c r="T29" s="2">
        <f t="shared" si="11"/>
        <v>-1.0241074914532227</v>
      </c>
      <c r="U29" s="2">
        <f t="shared" si="11"/>
        <v>-1.2415434485030536</v>
      </c>
      <c r="V29" s="2">
        <f t="shared" si="11"/>
        <v>-1.4840253644431387</v>
      </c>
    </row>
    <row r="30" spans="2:22" ht="14" x14ac:dyDescent="0.15">
      <c r="B30" s="16" t="s">
        <v>45</v>
      </c>
      <c r="C30" s="26">
        <v>7</v>
      </c>
      <c r="E30" s="24" t="s">
        <v>8</v>
      </c>
      <c r="F30" s="21" t="s">
        <v>46</v>
      </c>
      <c r="J30" s="2"/>
      <c r="K30" s="2"/>
      <c r="L30" s="2"/>
      <c r="M30" s="2"/>
      <c r="N30" s="2"/>
      <c r="P30" s="59" t="s">
        <v>204</v>
      </c>
      <c r="Q30" s="61">
        <f>SUM(Q25:Q29)</f>
        <v>4.4482322500000002</v>
      </c>
      <c r="R30" s="61">
        <f t="shared" ref="R30:V30" si="12">SUM(R25:R29)</f>
        <v>2.2743371874999987</v>
      </c>
      <c r="S30" s="61">
        <f t="shared" si="12"/>
        <v>2.8105826088281249</v>
      </c>
      <c r="T30" s="61">
        <f t="shared" si="12"/>
        <v>3.4103097253596655</v>
      </c>
      <c r="U30" s="61">
        <f t="shared" si="12"/>
        <v>4.0795169590591582</v>
      </c>
      <c r="V30" s="61">
        <f t="shared" si="12"/>
        <v>4.8247070375569141</v>
      </c>
    </row>
    <row r="31" spans="2:22" ht="14" x14ac:dyDescent="0.15">
      <c r="B31" s="22" t="s">
        <v>47</v>
      </c>
      <c r="C31" s="23">
        <f>C19*C30</f>
        <v>45.408999999999999</v>
      </c>
      <c r="E31" s="24" t="s">
        <v>8</v>
      </c>
      <c r="F31" s="25" t="s">
        <v>48</v>
      </c>
      <c r="J31" s="2"/>
      <c r="K31" s="2"/>
      <c r="L31" s="2"/>
      <c r="M31" s="2"/>
      <c r="N31" s="2"/>
    </row>
    <row r="32" spans="2:22" ht="14" x14ac:dyDescent="0.15">
      <c r="B32" s="16" t="s">
        <v>49</v>
      </c>
      <c r="C32" s="27">
        <v>0.51</v>
      </c>
      <c r="E32" s="28" t="s">
        <v>10</v>
      </c>
      <c r="F32" s="21" t="s">
        <v>167</v>
      </c>
      <c r="J32" s="2"/>
      <c r="K32" s="2"/>
      <c r="L32" s="2"/>
      <c r="M32" s="2"/>
      <c r="N32" s="2"/>
    </row>
    <row r="33" spans="2:22" ht="14" x14ac:dyDescent="0.15">
      <c r="B33" s="22" t="s">
        <v>50</v>
      </c>
      <c r="C33" s="23">
        <f>C27*(1-C32)</f>
        <v>40.277999999999999</v>
      </c>
      <c r="E33" s="24" t="s">
        <v>8</v>
      </c>
      <c r="F33" s="25" t="s">
        <v>51</v>
      </c>
      <c r="J33" s="2"/>
      <c r="K33" s="2"/>
      <c r="L33" s="2"/>
      <c r="M33" s="2"/>
      <c r="N33" s="2"/>
      <c r="P33" s="2" t="s">
        <v>205</v>
      </c>
    </row>
    <row r="34" spans="2:22" ht="14" x14ac:dyDescent="0.15">
      <c r="B34" s="16" t="s">
        <v>52</v>
      </c>
      <c r="C34" s="17">
        <v>2.1</v>
      </c>
      <c r="E34" s="28" t="s">
        <v>10</v>
      </c>
      <c r="F34" s="21" t="s">
        <v>53</v>
      </c>
      <c r="J34" s="2"/>
      <c r="K34" s="2"/>
      <c r="L34" s="2"/>
      <c r="M34" s="2"/>
      <c r="N34" s="2"/>
      <c r="P34" s="2" t="s">
        <v>207</v>
      </c>
      <c r="Q34" s="2">
        <f>26</f>
        <v>26</v>
      </c>
      <c r="R34" s="2">
        <f>Q34</f>
        <v>26</v>
      </c>
      <c r="S34" s="62">
        <f>R38</f>
        <v>23.725662812500001</v>
      </c>
      <c r="T34" s="62">
        <f>S38</f>
        <v>20.915080203671877</v>
      </c>
      <c r="U34" s="62">
        <f>T38</f>
        <v>17.50477047831221</v>
      </c>
      <c r="V34" s="62">
        <f>U38</f>
        <v>13.425253519253051</v>
      </c>
    </row>
    <row r="35" spans="2:22" ht="14" x14ac:dyDescent="0.15">
      <c r="B35" s="16" t="s">
        <v>54</v>
      </c>
      <c r="C35" s="17">
        <v>26</v>
      </c>
      <c r="E35" s="28" t="s">
        <v>10</v>
      </c>
      <c r="F35" s="21" t="s">
        <v>55</v>
      </c>
      <c r="J35" s="2"/>
      <c r="K35" s="2"/>
      <c r="L35" s="2"/>
      <c r="M35" s="2"/>
      <c r="N35" s="2"/>
      <c r="P35" s="2" t="s">
        <v>208</v>
      </c>
      <c r="Q35" s="56">
        <f>C46</f>
        <v>8.5000000000000006E-2</v>
      </c>
      <c r="R35" s="56">
        <f>C46</f>
        <v>8.5000000000000006E-2</v>
      </c>
      <c r="S35" s="56">
        <f>R35</f>
        <v>8.5000000000000006E-2</v>
      </c>
      <c r="T35" s="56">
        <f>S35</f>
        <v>8.5000000000000006E-2</v>
      </c>
      <c r="U35" s="56">
        <f>T35</f>
        <v>8.5000000000000006E-2</v>
      </c>
      <c r="V35" s="56">
        <f>U35</f>
        <v>8.5000000000000006E-2</v>
      </c>
    </row>
    <row r="36" spans="2:22" ht="14" x14ac:dyDescent="0.15">
      <c r="B36" s="16" t="s">
        <v>56</v>
      </c>
      <c r="C36" s="17">
        <v>2</v>
      </c>
      <c r="E36" s="28" t="s">
        <v>10</v>
      </c>
      <c r="F36" s="21" t="s">
        <v>53</v>
      </c>
      <c r="J36" s="2"/>
      <c r="K36" s="2"/>
      <c r="L36" s="2"/>
      <c r="M36" s="2"/>
      <c r="N36" s="2"/>
      <c r="P36" s="2" t="s">
        <v>195</v>
      </c>
      <c r="Q36" s="2">
        <f>0</f>
        <v>0</v>
      </c>
      <c r="R36" s="2">
        <f>-R35*R34</f>
        <v>-2.21</v>
      </c>
      <c r="S36" s="2">
        <f t="shared" ref="S36:V36" si="13">-S35*S34</f>
        <v>-2.0166813390625005</v>
      </c>
      <c r="T36" s="2">
        <f t="shared" si="13"/>
        <v>-1.7777818173121096</v>
      </c>
      <c r="U36" s="2">
        <f t="shared" si="13"/>
        <v>-1.4879054906565379</v>
      </c>
      <c r="V36" s="2">
        <f t="shared" si="13"/>
        <v>-1.1411465491365094</v>
      </c>
    </row>
    <row r="37" spans="2:22" ht="14" x14ac:dyDescent="0.15">
      <c r="B37" s="16" t="s">
        <v>57</v>
      </c>
      <c r="C37" s="29">
        <f>C35/C19</f>
        <v>4.0080160320641278</v>
      </c>
      <c r="E37" s="24" t="s">
        <v>8</v>
      </c>
      <c r="F37" s="25" t="s">
        <v>58</v>
      </c>
      <c r="J37" s="2"/>
      <c r="K37" s="2"/>
      <c r="L37" s="2"/>
      <c r="M37" s="2"/>
      <c r="N37" s="2"/>
      <c r="P37" s="58" t="s">
        <v>209</v>
      </c>
      <c r="Q37" s="2">
        <v>0</v>
      </c>
      <c r="R37" s="55">
        <f>-R30</f>
        <v>-2.2743371874999987</v>
      </c>
      <c r="S37" s="55">
        <f>-S30</f>
        <v>-2.8105826088281249</v>
      </c>
      <c r="T37" s="55">
        <f>-T30</f>
        <v>-3.4103097253596655</v>
      </c>
      <c r="U37" s="55">
        <f>-U30</f>
        <v>-4.0795169590591582</v>
      </c>
      <c r="V37" s="55">
        <f>-V30</f>
        <v>-4.8247070375569141</v>
      </c>
    </row>
    <row r="38" spans="2:22" ht="14" x14ac:dyDescent="0.15">
      <c r="J38" s="2"/>
      <c r="K38" s="2"/>
      <c r="L38" s="2"/>
      <c r="M38" s="2"/>
      <c r="N38" s="2"/>
      <c r="P38" s="58" t="s">
        <v>210</v>
      </c>
      <c r="Q38" s="2">
        <v>26</v>
      </c>
      <c r="R38" s="62">
        <f>SUM(R37+R34)</f>
        <v>23.725662812500001</v>
      </c>
      <c r="S38" s="62">
        <f>SUM(S37+S34)</f>
        <v>20.915080203671877</v>
      </c>
      <c r="T38" s="62">
        <f>SUM(T37+T34)</f>
        <v>17.50477047831221</v>
      </c>
      <c r="U38" s="62">
        <f>SUM(U37+U34)</f>
        <v>13.425253519253051</v>
      </c>
      <c r="V38" s="62">
        <f>SUM(V37+V34)</f>
        <v>8.6005464816961368</v>
      </c>
    </row>
    <row r="39" spans="2:22" ht="14" x14ac:dyDescent="0.15">
      <c r="B39" s="4" t="s">
        <v>59</v>
      </c>
      <c r="C39" s="4"/>
      <c r="D39" s="4"/>
      <c r="E39" s="4"/>
      <c r="F39" s="4"/>
      <c r="G39" s="4"/>
      <c r="H39" s="4"/>
      <c r="I39" s="4"/>
      <c r="J39" s="2"/>
      <c r="K39" s="2"/>
      <c r="L39" s="2"/>
      <c r="M39" s="2"/>
      <c r="N39" s="2"/>
    </row>
    <row r="40" spans="2:22" ht="14" x14ac:dyDescent="0.15">
      <c r="B40" s="16" t="s">
        <v>60</v>
      </c>
      <c r="C40" s="27">
        <v>0.05</v>
      </c>
      <c r="E40" s="28" t="s">
        <v>10</v>
      </c>
      <c r="F40" s="21" t="s">
        <v>61</v>
      </c>
      <c r="J40" s="2"/>
      <c r="K40" s="2"/>
      <c r="L40" s="2"/>
      <c r="M40" s="2"/>
      <c r="N40" s="2"/>
      <c r="P40" s="58" t="s">
        <v>211</v>
      </c>
      <c r="Q40" s="63">
        <f>V38-C48</f>
        <v>5.6005464816961368</v>
      </c>
    </row>
    <row r="41" spans="2:22" ht="14" x14ac:dyDescent="0.15">
      <c r="B41" s="16" t="s">
        <v>168</v>
      </c>
      <c r="C41" s="27">
        <v>0.17</v>
      </c>
      <c r="E41" s="28" t="s">
        <v>10</v>
      </c>
      <c r="F41" s="21" t="s">
        <v>62</v>
      </c>
      <c r="J41" s="2"/>
      <c r="K41" s="2"/>
      <c r="L41" s="2"/>
      <c r="M41" s="2"/>
      <c r="N41" s="2"/>
    </row>
    <row r="42" spans="2:22" ht="14" x14ac:dyDescent="0.15">
      <c r="B42" s="16" t="s">
        <v>63</v>
      </c>
      <c r="C42" s="18">
        <f>C18/C15</f>
        <v>4.7201827739946328E-2</v>
      </c>
      <c r="E42" s="24" t="s">
        <v>8</v>
      </c>
      <c r="F42" s="25" t="s">
        <v>64</v>
      </c>
      <c r="J42" s="2"/>
      <c r="K42" s="2"/>
      <c r="L42" s="2"/>
      <c r="M42" s="2"/>
      <c r="N42" s="2"/>
    </row>
    <row r="43" spans="2:22" ht="14" x14ac:dyDescent="0.15">
      <c r="B43" s="16" t="s">
        <v>65</v>
      </c>
      <c r="C43" s="27">
        <v>2.1399999999999999E-2</v>
      </c>
      <c r="E43" s="20" t="s">
        <v>6</v>
      </c>
      <c r="F43" s="21" t="s">
        <v>66</v>
      </c>
      <c r="J43" s="2"/>
      <c r="K43" s="2"/>
      <c r="L43" s="2"/>
      <c r="M43" s="2"/>
      <c r="N43" s="2"/>
      <c r="P43" s="2" t="s">
        <v>212</v>
      </c>
    </row>
    <row r="44" spans="2:22" x14ac:dyDescent="0.2">
      <c r="B44" s="16" t="s">
        <v>169</v>
      </c>
      <c r="C44" s="27">
        <v>0.41</v>
      </c>
      <c r="E44" s="24" t="s">
        <v>8</v>
      </c>
      <c r="F44" s="21" t="s">
        <v>67</v>
      </c>
      <c r="P44" s="2" t="s">
        <v>213</v>
      </c>
      <c r="Q44" s="55">
        <f>V15</f>
        <v>9.7815622859718783</v>
      </c>
    </row>
    <row r="45" spans="2:22" ht="14" x14ac:dyDescent="0.15">
      <c r="B45" s="16" t="s">
        <v>68</v>
      </c>
      <c r="C45" s="27">
        <v>0.25</v>
      </c>
      <c r="E45" s="28" t="s">
        <v>10</v>
      </c>
      <c r="F45" s="21" t="s">
        <v>69</v>
      </c>
      <c r="J45" s="2"/>
      <c r="K45" s="2"/>
      <c r="L45" s="2"/>
      <c r="M45" s="2"/>
      <c r="N45" s="2"/>
      <c r="P45" s="2" t="s">
        <v>214</v>
      </c>
      <c r="Q45" s="64">
        <f>C52</f>
        <v>7.5</v>
      </c>
    </row>
    <row r="46" spans="2:22" ht="14" x14ac:dyDescent="0.15">
      <c r="B46" s="16" t="s">
        <v>70</v>
      </c>
      <c r="C46" s="27">
        <v>8.5000000000000006E-2</v>
      </c>
      <c r="E46" s="28" t="s">
        <v>10</v>
      </c>
      <c r="F46" s="21" t="s">
        <v>71</v>
      </c>
      <c r="J46" s="2"/>
      <c r="K46" s="2"/>
      <c r="L46" s="2"/>
      <c r="M46" s="2"/>
      <c r="N46" s="2"/>
      <c r="P46" s="2" t="s">
        <v>215</v>
      </c>
      <c r="Q46" s="2">
        <f>Q45*Q44</f>
        <v>73.361717144789083</v>
      </c>
    </row>
    <row r="47" spans="2:22" ht="14" x14ac:dyDescent="0.15">
      <c r="B47" s="16" t="s">
        <v>72</v>
      </c>
      <c r="C47" s="27">
        <v>1</v>
      </c>
      <c r="E47" s="28" t="s">
        <v>10</v>
      </c>
      <c r="F47" s="21" t="s">
        <v>73</v>
      </c>
      <c r="J47" s="2"/>
      <c r="K47" s="2"/>
      <c r="L47" s="2"/>
      <c r="M47" s="2"/>
      <c r="N47" s="2"/>
      <c r="P47" s="2" t="s">
        <v>211</v>
      </c>
      <c r="Q47" s="62">
        <f>Q40</f>
        <v>5.6005464816961368</v>
      </c>
    </row>
    <row r="48" spans="2:22" ht="14" x14ac:dyDescent="0.15">
      <c r="B48" s="16" t="s">
        <v>74</v>
      </c>
      <c r="C48" s="17">
        <v>3</v>
      </c>
      <c r="E48" s="28" t="s">
        <v>10</v>
      </c>
      <c r="F48" s="21" t="s">
        <v>75</v>
      </c>
      <c r="J48" s="2"/>
      <c r="K48" s="2"/>
      <c r="L48" s="2"/>
      <c r="M48" s="2"/>
      <c r="N48" s="2"/>
      <c r="P48" s="2" t="s">
        <v>216</v>
      </c>
      <c r="Q48" s="62">
        <f>Q46-Q47</f>
        <v>67.76117066309294</v>
      </c>
    </row>
    <row r="49" spans="2:17" ht="14" x14ac:dyDescent="0.15">
      <c r="J49" s="2"/>
      <c r="K49" s="2"/>
      <c r="L49" s="2"/>
      <c r="M49" s="2"/>
      <c r="N49" s="2"/>
    </row>
    <row r="50" spans="2:17" ht="14" x14ac:dyDescent="0.15">
      <c r="B50" s="4" t="s">
        <v>76</v>
      </c>
      <c r="C50" s="4"/>
      <c r="D50" s="4"/>
      <c r="E50" s="4"/>
      <c r="F50" s="4"/>
      <c r="G50" s="4"/>
      <c r="H50" s="4"/>
      <c r="I50" s="4"/>
      <c r="J50" s="2"/>
      <c r="K50" s="2"/>
      <c r="L50" s="2"/>
      <c r="M50" s="2"/>
      <c r="N50" s="2"/>
      <c r="P50" s="2" t="s">
        <v>124</v>
      </c>
      <c r="Q50" s="2">
        <f>Q48/U5</f>
        <v>2.2363422661086783</v>
      </c>
    </row>
    <row r="51" spans="2:17" ht="14" x14ac:dyDescent="0.15">
      <c r="B51" s="16" t="s">
        <v>77</v>
      </c>
      <c r="C51" s="30">
        <v>5</v>
      </c>
      <c r="E51" s="28" t="s">
        <v>10</v>
      </c>
      <c r="F51" s="21" t="s">
        <v>53</v>
      </c>
      <c r="J51" s="2"/>
      <c r="K51" s="2"/>
      <c r="L51" s="2"/>
      <c r="M51" s="2"/>
      <c r="N51" s="2"/>
    </row>
    <row r="52" spans="2:17" ht="14" x14ac:dyDescent="0.15">
      <c r="B52" s="16" t="s">
        <v>78</v>
      </c>
      <c r="C52" s="26">
        <v>7.5</v>
      </c>
      <c r="E52" s="28" t="s">
        <v>10</v>
      </c>
      <c r="F52" s="21" t="s">
        <v>79</v>
      </c>
      <c r="J52" s="2"/>
      <c r="K52" s="2"/>
      <c r="L52" s="2"/>
      <c r="M52" s="2"/>
      <c r="N52" s="2"/>
    </row>
    <row r="53" spans="2:17" ht="14" x14ac:dyDescent="0.15">
      <c r="J53" s="2"/>
      <c r="K53" s="2"/>
      <c r="L53" s="2"/>
      <c r="M53" s="2"/>
      <c r="N53" s="2"/>
    </row>
    <row r="55" spans="2:17" ht="14" x14ac:dyDescent="0.15">
      <c r="J55" s="2"/>
      <c r="K55" s="2"/>
      <c r="L55" s="2"/>
      <c r="M55" s="2"/>
      <c r="N55" s="2"/>
    </row>
    <row r="56" spans="2:17" ht="14" x14ac:dyDescent="0.15">
      <c r="J56" s="2"/>
      <c r="K56" s="2"/>
      <c r="L56" s="2"/>
      <c r="M56" s="2"/>
      <c r="N56" s="2"/>
    </row>
    <row r="57" spans="2:17" ht="14" x14ac:dyDescent="0.15">
      <c r="J57" s="2"/>
      <c r="K57" s="2"/>
      <c r="L57" s="2"/>
      <c r="M57" s="2"/>
      <c r="N57" s="2"/>
    </row>
    <row r="58" spans="2:17" ht="14" x14ac:dyDescent="0.15">
      <c r="J58" s="2"/>
      <c r="K58" s="2"/>
      <c r="L58" s="2"/>
      <c r="M58" s="2"/>
      <c r="N58" s="2"/>
    </row>
    <row r="59" spans="2:17" ht="14" x14ac:dyDescent="0.15">
      <c r="J59" s="2"/>
      <c r="K59" s="2"/>
      <c r="L59" s="2"/>
      <c r="M59" s="2"/>
      <c r="N59" s="2"/>
    </row>
    <row r="60" spans="2:17" ht="14" x14ac:dyDescent="0.15">
      <c r="J60" s="2"/>
      <c r="K60" s="2"/>
      <c r="L60" s="2"/>
      <c r="M60" s="2"/>
      <c r="N60" s="2"/>
    </row>
    <row r="61" spans="2:17" ht="14" x14ac:dyDescent="0.15">
      <c r="J61" s="2"/>
      <c r="K61" s="2"/>
      <c r="L61" s="2"/>
      <c r="M61" s="2"/>
      <c r="N61" s="2"/>
    </row>
    <row r="62" spans="2:17" ht="14" x14ac:dyDescent="0.15">
      <c r="J62" s="2"/>
      <c r="K62" s="2"/>
      <c r="L62" s="2"/>
      <c r="M62" s="2"/>
      <c r="N62" s="2"/>
    </row>
    <row r="63" spans="2:17" ht="14" x14ac:dyDescent="0.15">
      <c r="J63" s="2"/>
      <c r="K63" s="2"/>
      <c r="L63" s="2"/>
      <c r="M63" s="2"/>
      <c r="N63" s="2"/>
    </row>
    <row r="64" spans="2:17" ht="14" x14ac:dyDescent="0.15">
      <c r="J64" s="2"/>
      <c r="K64" s="2"/>
      <c r="L64" s="2"/>
      <c r="M64" s="2"/>
      <c r="N64" s="2"/>
    </row>
    <row r="66" s="2" customFormat="1" ht="14" x14ac:dyDescent="0.15"/>
    <row r="67" s="2" customFormat="1" ht="14" x14ac:dyDescent="0.15"/>
    <row r="68" s="2" customFormat="1" x14ac:dyDescent="0.15"/>
  </sheetData>
  <mergeCells count="8">
    <mergeCell ref="B12:F12"/>
    <mergeCell ref="P11:V11"/>
    <mergeCell ref="B6:F6"/>
    <mergeCell ref="G6:I6"/>
    <mergeCell ref="B10:F10"/>
    <mergeCell ref="B2:F2"/>
    <mergeCell ref="B3:F3"/>
    <mergeCell ref="B4:F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 &amp; Assumptions</vt:lpstr>
      <vt:lpstr>Model</vt:lpstr>
      <vt:lpstr>Sheet1</vt:lpstr>
      <vt:lpstr>'Cover &amp; Assumptions'!Print_Area</vt:lpstr>
      <vt:lpstr>Model!Print_Area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Kumbhar</cp:lastModifiedBy>
  <cp:revision>0</cp:revision>
  <cp:lastPrinted>2026-05-19T17:13:19Z</cp:lastPrinted>
  <dcterms:created xsi:type="dcterms:W3CDTF">2026-05-18T21:02:30Z</dcterms:created>
  <dcterms:modified xsi:type="dcterms:W3CDTF">2026-05-19T18:26:35Z</dcterms:modified>
  <dc:language>en-US</dc:language>
</cp:coreProperties>
</file>