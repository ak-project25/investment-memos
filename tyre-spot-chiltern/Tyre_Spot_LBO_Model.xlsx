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Assumptions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<sst xmlns="http://schemas.openxmlformats.org/spreadsheetml/2006/main" count="278" uniqueCount="227">
  <si>
    <t xml:space="preserve">TYRE SPOT LIMITED — LBO MODEL</t>
  </si>
  <si>
    <t xml:space="preserve">Illustrative founder-succession buyout · Anchored on Companies House FY25 audited accounts (CRN 02854187)</t>
  </si>
  <si>
    <t xml:space="preserve">Prepared by A. Kumbhar · For discussion only · NOT a deal indication</t>
  </si>
  <si>
    <t xml:space="preserve">ASSUMPTIONS &amp; KEY CAVEATS</t>
  </si>
  <si>
    <t xml:space="preserve">•  Screening model. Entry anchors sourced from Companies House Tyre Spot Limited FY March 2025 audited accounts.</t>
  </si>
  <si>
    <t xml:space="preserve">•  Every input is colour-coded and tagged.</t>
  </si>
  <si>
    <t xml:space="preserve">•  VERIFIED (green) = traced to Companies House Tyre Spot Limited FY March 2025 filing (CRN 02854187).</t>
  </si>
  <si>
    <t xml:space="preserve">•  CALCULABLE (blue) = derived by formula from verified inputs.</t>
  </si>
  <si>
    <t xml:space="preserve">•  ASSUMPTION (amber) = modelling choice; returns rest on these.</t>
  </si>
  <si>
    <t xml:space="preserve">•  FLAGGED (purple) = not yet fully sourced; confirm before relying on it.</t>
  </si>
  <si>
    <t xml:space="preserve">•  Biggest swing factor: admin discipline execution. £5.5m → £8.3m admin growth FY22-FY25 is the load-bearing assumption to reverse.</t>
  </si>
  <si>
    <t xml:space="preserve">SOURCING LEGEND</t>
  </si>
  <si>
    <t xml:space="preserve">VERIFIED</t>
  </si>
  <si>
    <t xml:space="preserve">Companies House Tyre Spot Limited FY March 2025, CRN 02854187</t>
  </si>
  <si>
    <t xml:space="preserve">CALCULABLE</t>
  </si>
  <si>
    <t xml:space="preserve">Arithmetic from verified inputs</t>
  </si>
  <si>
    <t xml:space="preserve">ASSUMPTION</t>
  </si>
  <si>
    <t xml:space="preserve">Modelling choice — illustrative, not a fact or deal indication</t>
  </si>
  <si>
    <t xml:space="preserve">FLAGGED</t>
  </si>
  <si>
    <t xml:space="preserve">Not yet fully sourced — confirm before relying on it</t>
  </si>
  <si>
    <t xml:space="preserve">Colour: blue = input you can change · black = formula · green = link from this workbook · grey = source note</t>
  </si>
  <si>
    <t xml:space="preserve">TYRE SPOT 10-YR MARGIN HISTORY + PEER BENCHMARKS — Bloomberg</t>
  </si>
  <si>
    <t xml:space="preserve">£m / %</t>
  </si>
  <si>
    <t xml:space="preserve">FY17</t>
  </si>
  <si>
    <t xml:space="preserve">FY18</t>
  </si>
  <si>
    <t xml:space="preserve">FY19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</si>
  <si>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</si>
  <si>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</si>
  <si>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</si>
  <si>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</si>
  <si>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</si>
  <si>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</si>
  <si>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Revenue (£m)</t>
  </si>
  <si>
    <t xml:space="preserve">EBITDA (£m)</t>
  </si>
  <si>
    <t xml:space="preserve">EBITDA margin</t>
  </si>
  <si>
    <t xml:space="preserve">Source: Bloomberg 9136763Z LN Equity, FY17-FY25. 10-yr avg margin ~3.4%; 5-yr avg (FY21-25) 4.27%; FY21 peak 6.69%.</t>
  </si>
  <si>
    <t xml:space="preserve">ENTRY ANCHORS — Companies House FY March 2025 (£m unless stated)</t>
  </si>
  <si>
    <t xml:space="preserve">FY25 Revenue (£m)</t>
  </si>
  <si>
    <t xml:space="preserve">CH Tyre Spot Ltd FY25 p.12 — Statement of Income &amp; Retained Earnings</t>
  </si>
  <si>
    <t xml:space="preserve">FY25 Cost of sales (£m)</t>
  </si>
  <si>
    <t xml:space="preserve">CH FY25 p.12</t>
  </si>
  <si>
    <t xml:space="preserve">FY25 Gross profit (£m)</t>
  </si>
  <si>
    <t xml:space="preserve">Revenue − COGS</t>
  </si>
  <si>
    <t xml:space="preserve">FY25 Operating profit (£m)</t>
  </si>
  <si>
    <t xml:space="preserve">FY25 Depreciation (£m)</t>
  </si>
  <si>
    <t xml:space="preserve">CH FY25 Note 4 (p.20)</t>
  </si>
  <si>
    <t xml:space="preserve">FY25 Amortisation (£m)</t>
  </si>
  <si>
    <t xml:space="preserve">FY25 EBITDA (£m)</t>
  </si>
  <si>
    <t xml:space="preserve">Op profit + D&amp;A — reconciles to £1.13m</t>
  </si>
  <si>
    <t xml:space="preserve">FY25 EBITDA margin</t>
  </si>
  <si>
    <t xml:space="preserve">Derived ≈3.2%</t>
  </si>
  <si>
    <t xml:space="preserve">Bank loans (£m)</t>
  </si>
  <si>
    <t xml:space="preserve">CH FY25 Note 19 (p.25)</t>
  </si>
  <si>
    <t xml:space="preserve">Bank overdrafts (£m)</t>
  </si>
  <si>
    <t xml:space="preserve">Cash (£m)</t>
  </si>
  <si>
    <t xml:space="preserve">CH FY25 Balance Sheet (p.13)</t>
  </si>
  <si>
    <t xml:space="preserve">Net debt at entry (£m)</t>
  </si>
  <si>
    <t xml:space="preserve">Bank loans + overdraft − cash = £1.19m</t>
  </si>
  <si>
    <t xml:space="preserve">Tangible fixed assets (£m)</t>
  </si>
  <si>
    <t xml:space="preserve">CH FY25 BS — of which £2.79m freehold pledged as security (Note 12, p.23)</t>
  </si>
  <si>
    <t xml:space="preserve">Stocks (£m)</t>
  </si>
  <si>
    <t xml:space="preserve">CH FY25 BS — funds wholesale book; 69 days COGS</t>
  </si>
  <si>
    <t xml:space="preserve">Trade debtors (£m)</t>
  </si>
  <si>
    <t xml:space="preserve">CH FY25 Note 16</t>
  </si>
  <si>
    <t xml:space="preserve">Retained earnings c/f (£m)</t>
  </si>
  <si>
    <t xml:space="preserve">CH FY25 BS</t>
  </si>
  <si>
    <t xml:space="preserve">TRANSACTION ASSUMPTIONS — ALL ILLUSTRATIVE, NOT DEAL INDICATIONS</t>
  </si>
  <si>
    <t xml:space="preserve">Entry EV / EBITDA multiple (x)</t>
  </si>
  <si>
    <t xml:space="preserve">Anchored to Halfords Group spot 5.4x (BBG HFD LN, 23-May-26). 5.75x = 7% premium for off-market private + Kerr's adjacency. Through-cycle Halfords likely 6-7x.</t>
  </si>
  <si>
    <t xml:space="preserve">Implied Entry Enterprise Value (£m)</t>
  </si>
  <si>
    <t xml:space="preserve">EBITDA × entry multiple</t>
  </si>
  <si>
    <t xml:space="preserve">New senior debt at entry (£m)</t>
  </si>
  <si>
    <t xml:space="preserve">Refinances existing £1.22m + funds £2.28m of consideration. ~3.1x EBITDA — moderate for turnaround profile.</t>
  </si>
  <si>
    <t xml:space="preserve">Take out existing senior debt (£m)</t>
  </si>
  <si>
    <t xml:space="preserve">Existing bank loans + overdraft (refinanced at close)</t>
  </si>
  <si>
    <t xml:space="preserve">Management rollover (£m)</t>
  </si>
  <si>
    <t xml:space="preserve">Next-gen director Mr J T Shaw (b. 1978) retains stake</t>
  </si>
  <si>
    <t xml:space="preserve">Transaction fees (£m)</t>
  </si>
  <si>
    <t xml:space="preserve">~4.5% of EV — legal + financial DD + advisory for sub-£10m bolt-on</t>
  </si>
  <si>
    <t xml:space="preserve">Working capital injection (£m)</t>
  </si>
  <si>
    <t xml:space="preserve">Rebuild cash buffer (FY25 ended £30k)</t>
  </si>
  <si>
    <t xml:space="preserve">Entry leverage (x EBITDA)</t>
  </si>
  <si>
    <t xml:space="preserve">New senior debt / entry EBITDA</t>
  </si>
  <si>
    <t xml:space="preserve">OPERATING ASSUMPTIONS — projection inputs</t>
  </si>
  <si>
    <t xml:space="preserve">Revenue growth p.a. (%)</t>
  </si>
  <si>
    <t xml:space="preserve">Tapers from FY25 +12.3% actual to UK tyre market CAGR ~4%</t>
  </si>
  <si>
    <t xml:space="preserve">EBITDA margin trajectory (%)</t>
  </si>
  <si>
    <t xml:space="preserve">CONSERVATIVE base: Y4 4.6% = return to FY22 actual (already achieved). Bull case (sensitivity) = 7% margin between TS FY21 peak 6.69% and Halfords AC 9.58% peer ceiling.</t>
  </si>
  <si>
    <t xml:space="preserve">D&amp;A % of revenue</t>
  </si>
  <si>
    <t xml:space="preserve">FY25 D&amp;A / FY25 revenue ≈ 1.07%</t>
  </si>
  <si>
    <t xml:space="preserve">Capex % of revenue (%)</t>
  </si>
  <si>
    <t xml:space="preserve">CONSERVATIVE: FY24 actual capex £770k = 2.5%; FY25 actual £242k = 0.7%; 2.0% normalised midpoint</t>
  </si>
  <si>
    <t xml:space="preserve">NWC change % of revenue change</t>
  </si>
  <si>
    <t xml:space="preserve">2-yr avg from Note 27: (FY24 ΔWC £1,554k + FY25 ΔWC -£111k) / (ΔRev FY24 £2,748k + ΔRev FY25 £3,841k) = 21.9%</t>
  </si>
  <si>
    <t xml:space="preserve">Cash tax rate (%)</t>
  </si>
  <si>
    <t xml:space="preserve">UK corporation tax main rate</t>
  </si>
  <si>
    <t xml:space="preserve">Senior debt interest rate (%)</t>
  </si>
  <si>
    <t xml:space="preserve">SONIA + 400-500bps for UK LMM senior; not based on debt market sounding</t>
  </si>
  <si>
    <t xml:space="preserve">Cash sweep (% of FCF)</t>
  </si>
  <si>
    <t xml:space="preserve">75% sweep above minimum cash — typical PE LBO covenant</t>
  </si>
  <si>
    <t xml:space="preserve">Minimum cash (£m)</t>
  </si>
  <si>
    <t xml:space="preserve">Operating cash floor</t>
  </si>
  <si>
    <t xml:space="preserve">EXIT ASSUMPTIONS</t>
  </si>
  <si>
    <t xml:space="preserve">Hold period (years)</t>
  </si>
  <si>
    <t xml:space="preserve">Aligns with Kerr's platform exit window</t>
  </si>
  <si>
    <t xml:space="preserve">Exit EV / EBITDA multiple (x)</t>
  </si>
  <si>
    <t xml:space="preserve">CONSERVATIVE: Halfords spot 5.4x (BBG VERIFIED). 6.0x = modest 11% premium for platform scale at exit (~60 sites). 7.0x reserved for bull case.</t>
  </si>
  <si>
    <t xml:space="preserve">ENTRY NET DEBT WALK — Phase 2 verified</t>
  </si>
  <si>
    <t xml:space="preserve">Bank loans (refinance at close)</t>
  </si>
  <si>
    <t xml:space="preserve">FY25 Note 19 (p.25)</t>
  </si>
  <si>
    <t xml:space="preserve">Bank overdrafts (refinance at close)</t>
  </si>
  <si>
    <t xml:space="preserve">+ Director loans outstanding</t>
  </si>
  <si>
    <t xml:space="preserve">FY25 Note 25 (p.27)</t>
  </si>
  <si>
    <t xml:space="preserve">- Cash at bank</t>
  </si>
  <si>
    <t xml:space="preserve">FY25 BS (p.13)</t>
  </si>
  <si>
    <t xml:space="preserve">Total entry net debt (£m)</t>
  </si>
  <si>
    <t xml:space="preserve">Refinanced at close via new senior facility</t>
  </si>
  <si>
    <t xml:space="preserve">PEER BENCHMARKS — Halfords Autocentres + Kerr's (Bloomberg)</t>
  </si>
  <si>
    <t xml:space="preserve">Comp</t>
  </si>
  <si>
    <t xml:space="preserve">FY25 Rev (£m)</t>
  </si>
  <si>
    <t xml:space="preserve">Source</t>
  </si>
  <si>
    <t xml:space="preserve">Tyre Spot (current)</t>
  </si>
  <si>
    <t xml:space="preserve">[VERIFIED] CH FY25 + BBG 9136763Z LN</t>
  </si>
  <si>
    <t xml:space="preserve">Tyre Spot FY21 peak</t>
  </si>
  <si>
    <t xml:space="preserve">[VERIFIED] BBG 9136763Z LN — own historical peak</t>
  </si>
  <si>
    <t xml:space="preserve">Kerr's Tyres FY25 (Sep YE, pre-Farmer)</t>
  </si>
  <si>
    <t xml:space="preserve">[VERIFIED] BBG 1954169D LN — direct peer, same buyer</t>
  </si>
  <si>
    <t xml:space="preserve">Halfords Autocentres FY25</t>
  </si>
  <si>
    <t xml:space="preserve">[VERIFIED] BBG HFD LN Segment Data — scale benchmark</t>
  </si>
  <si>
    <t xml:space="preserve">Halfords Autocentres 5-yr avg</t>
  </si>
  <si>
    <t xml:space="preserve">[CALCULABLE] avg FY21-25 from BBG HFD LN</t>
  </si>
  <si>
    <t xml:space="preserve">Halfords Group EV/EBITDA (current)</t>
  </si>
  <si>
    <t xml:space="preserve">5.4x</t>
  </si>
  <si>
    <t xml:space="preserve">[VERIFIED] BBG HFD LN — spot 23-May-2026; through-cycle likely 6-7x</t>
  </si>
  <si>
    <t xml:space="preserve">IMPLICATIONS for Tyre Spot:</t>
  </si>
  <si>
    <t xml:space="preserve">• Tyre Spot already hit 6.69% margin in FY21 — recovery to 4-6% is a return to recent history</t>
  </si>
  <si>
    <t xml:space="preserve">• Halfords Autocentres averages 9.58% over 5 yrs; Kerr's currently runs 9.51% — operating ceiling is verified</t>
  </si>
  <si>
    <t xml:space="preserve">• Each 100bps of margin recovery on £35m revenue = £350k EBITDA</t>
  </si>
  <si>
    <t xml:space="preserve">• Entry multiple anchored to Halfords spot 5.4x — model uses 5.75x as modest premium for off-market private discount</t>
  </si>
  <si>
    <t xml:space="preserve">TYRE SPOT — LBO MODEL</t>
  </si>
  <si>
    <t xml:space="preserve">INPUTS — key drivers (links to Cover &amp; Assumptions sheet)</t>
  </si>
  <si>
    <t xml:space="preserve">Purchase Assumptions</t>
  </si>
  <si>
    <t xml:space="preserve">Financing Assumptions</t>
  </si>
  <si>
    <t xml:space="preserve">Purchase EBITDA (£m)</t>
  </si>
  <si>
    <t xml:space="preserve">% LTC (senior debt / EV)</t>
  </si>
  <si>
    <t xml:space="preserve">Interest Rate</t>
  </si>
  <si>
    <t xml:space="preserve">Purchase Multiple (x)</t>
  </si>
  <si>
    <t xml:space="preserve">Aggregate Financing (£m)</t>
  </si>
  <si>
    <t xml:space="preserve">Purchase EV (£m)</t>
  </si>
  <si>
    <t xml:space="preserve">Plus: Cash (£m)</t>
  </si>
  <si>
    <t xml:space="preserve">Less: Existing Debt (£m)</t>
  </si>
  <si>
    <t xml:space="preserve">Purchase Equity Value (£m)</t>
  </si>
  <si>
    <t xml:space="preserve">P&amp;L Assumptions</t>
  </si>
  <si>
    <t xml:space="preserve">Exit Assumptions</t>
  </si>
  <si>
    <t xml:space="preserve">Revenue Growth (4-yr avg)</t>
  </si>
  <si>
    <t xml:space="preserve">Exit Multiple (x LTM EBITDA)</t>
  </si>
  <si>
    <t xml:space="preserve">Y4 EBITDA Margin Target</t>
  </si>
  <si>
    <t xml:space="preserve">Hold Period (years)</t>
  </si>
  <si>
    <t xml:space="preserve">Tax Rate</t>
  </si>
  <si>
    <t xml:space="preserve">Uses of Capital (£m)</t>
  </si>
  <si>
    <t xml:space="preserve">Sources of Capital (£m)</t>
  </si>
  <si>
    <t xml:space="preserve">Purchase Company's Equity</t>
  </si>
  <si>
    <t xml:space="preserve">% LTC</t>
  </si>
  <si>
    <t xml:space="preserve">£m</t>
  </si>
  <si>
    <t xml:space="preserve">Retire Existing Debt</t>
  </si>
  <si>
    <t xml:space="preserve">Aggregate Financing</t>
  </si>
  <si>
    <t xml:space="preserve">Working Capital Injection</t>
  </si>
  <si>
    <t xml:space="preserve">Management Rollover</t>
  </si>
  <si>
    <t xml:space="preserve">Transaction Expenses</t>
  </si>
  <si>
    <t xml:space="preserve">Sponsor Equity (plug)</t>
  </si>
  <si>
    <t xml:space="preserve">Total Uses</t>
  </si>
  <si>
    <t xml:space="preserve">Total Sources</t>
  </si>
  <si>
    <t xml:space="preserve">Sources = Uses?</t>
  </si>
  <si>
    <t xml:space="preserve">Ties?</t>
  </si>
  <si>
    <t xml:space="preserve">Detailed Operating Model + Debt Schedule + Returns + Sensitivity below</t>
  </si>
  <si>
    <t xml:space="preserve">Revenue</t>
  </si>
  <si>
    <t xml:space="preserve">EBITDA</t>
  </si>
  <si>
    <t xml:space="preserve">Depreciation &amp; amortisation</t>
  </si>
  <si>
    <t xml:space="preserve">EBIT</t>
  </si>
  <si>
    <t xml:space="preserve">Cash interest (senior)</t>
  </si>
  <si>
    <t xml:space="preserve">Profit before tax</t>
  </si>
  <si>
    <t xml:space="preserve">Cash tax</t>
  </si>
  <si>
    <t xml:space="preserve">Net profit</t>
  </si>
  <si>
    <t xml:space="preserve">FREE CASH FLOW BUILD</t>
  </si>
  <si>
    <t xml:space="preserve">Less: capex</t>
  </si>
  <si>
    <t xml:space="preserve">Less: change in working capital</t>
  </si>
  <si>
    <t xml:space="preserve">Less: cash interest</t>
  </si>
  <si>
    <t xml:space="preserve">Less: cash tax</t>
  </si>
  <si>
    <t xml:space="preserve">Free cash flow (pre-debt repayment)</t>
  </si>
  <si>
    <t xml:space="preserve">ACQUISITION DEBT SCHEDULE &amp; CASH SWEEP</t>
  </si>
  <si>
    <t xml:space="preserve">FY25A
(Entry)</t>
  </si>
  <si>
    <t xml:space="preserve">Year 1</t>
  </si>
  <si>
    <t xml:space="preserve">Year 2</t>
  </si>
  <si>
    <t xml:space="preserve">Year 3</t>
  </si>
  <si>
    <t xml:space="preserve">Year 4</t>
  </si>
  <si>
    <t xml:space="preserve">Opening Acquisition debt</t>
  </si>
  <si>
    <t xml:space="preserve">Interest rate</t>
  </si>
  <si>
    <t xml:space="preserve">Mandatory amortisation</t>
  </si>
  <si>
    <t xml:space="preserve">Cash sweep (% of FCF available)</t>
  </si>
  <si>
    <t xml:space="preserve">Cash interest</t>
  </si>
  <si>
    <t xml:space="preserve">Closing senior debt</t>
  </si>
  <si>
    <t xml:space="preserve">Note: Interest computed on opening balance (avoids circular with sweep). Sweep takes 75% of FCF after mandatory amort.</t>
  </si>
  <si>
    <t xml:space="preserve">RETURNS — equity bridge</t>
  </si>
  <si>
    <t xml:space="preserve">EXIT (Year 4) — ILLUSTRATIVE</t>
  </si>
  <si>
    <t xml:space="preserve">Year 4 EBITDA</t>
  </si>
  <si>
    <t xml:space="preserve">Exit EV / EBITDA multiple</t>
  </si>
  <si>
    <t xml:space="preserve">Exit Enterprise Value</t>
  </si>
  <si>
    <t xml:space="preserve">Less: net senior debt at exit</t>
  </si>
  <si>
    <t xml:space="preserve">Exit equity value</t>
  </si>
  <si>
    <t xml:space="preserve">RETURNS TO SPONSOR</t>
  </si>
  <si>
    <t xml:space="preserve">Sponsor equity invested at entry</t>
  </si>
  <si>
    <t xml:space="preserve">Sponsor equity at exit (assume pro-rata)</t>
  </si>
  <si>
    <t xml:space="preserve">MOIC</t>
  </si>
  <si>
    <t xml:space="preserve">IRR (single in / single out)</t>
  </si>
  <si>
    <t xml:space="preserve">CASH-FLOW CROSS-CHECK</t>
  </si>
  <si>
    <t xml:space="preserve">Year</t>
  </si>
  <si>
    <t xml:space="preserve">Sponsor cash flow (£m)</t>
  </si>
  <si>
    <t xml:space="preserve">IRR (Excel, on cash flows)</t>
  </si>
  <si>
    <t xml:space="preserve">Cross-check against closed-form IRR — should match</t>
  </si>
  <si>
    <t xml:space="preserve">SENSITIVITY — illustrative</t>
  </si>
  <si>
    <t xml:space="preserve">Two biggest swing factors: Year-4 EBITDA (margin discipline) × Exit multiple.</t>
  </si>
  <si>
    <t xml:space="preserve">Entry sponsor equity (£m)</t>
  </si>
  <si>
    <t xml:space="preserve">Year 4 net debt at exit (£m)</t>
  </si>
  <si>
    <t xml:space="preserve">TABLE 1 — MOIC: Y4 EBITDA × Exit multiple</t>
  </si>
  <si>
    <t xml:space="preserve">Y4 EBITDA \ Exit x</t>
  </si>
  <si>
    <t xml:space="preserve">TABLE 2 — IRR (4-year hold): Y4 EBITDA × Exit multiple</t>
  </si>
  <si>
    <t xml:space="preserve">Note: Table 2 IRR derives from Table 1 MOIC (single in/single out). Year-4 net debt held constant — at higher EBITDA scenarios the debt would deleverage further (returns above are if anything conservative).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</si>
</sst>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;\(#,##0.000\);\-"/>
    <numFmt numFmtId="166" formatCode="0.0%;\(0.0%\);\-"/>
    <numFmt numFmtId="167" formatCode="0.00\x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1B3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B7A3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B7791F"/>
      <name val="Arial"/>
      <family val="0"/>
      <charset val="1"/>
    </font>
    <font>
      <b val="true"/>
      <sz val="10"/>
      <color rgb="FF8A1FB7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D1B3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1B3E"/>
        <bgColor rgb="FF333333"/>
      </patternFill>
    </fill>
    <fill>
      <patternFill patternType="solid">
        <fgColor rgb="FFFFF3CD"/>
        <bgColor rgb="FFF2F2F5"/>
      </patternFill>
    </fill>
    <fill>
      <patternFill patternType="solid">
        <fgColor rgb="FFF2F2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A1FB7"/>
      <rgbColor rgb="FF1B7A3D"/>
      <rgbColor rgb="FFC0C0C0"/>
      <rgbColor rgb="FF808080"/>
      <rgbColor rgb="FF9999FF"/>
      <rgbColor rgb="FF993366"/>
      <rgbColor rgb="FFFFF3CD"/>
      <rgbColor rgb="FFF2F2F5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D1B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70"/>
    <col collapsed="false" customWidth="true" hidden="false" outlineLevel="0" max="9" min="7" style="0" width="1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  <c r="C6" s="4"/>
      <c r="D6" s="4"/>
      <c r="E6" s="4"/>
      <c r="F6" s="4"/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5" t="s">
        <v>9</v>
      </c>
    </row>
    <row r="13" customFormat="false" ht="15" hidden="false" customHeight="false" outlineLevel="0" collapsed="false">
      <c r="B13" s="5" t="s">
        <v>10</v>
      </c>
    </row>
    <row r="15" customFormat="false" ht="15" hidden="false" customHeight="false" outlineLevel="0" collapsed="false">
      <c r="B15" s="3" t="s">
        <v>11</v>
      </c>
      <c r="C15" s="4"/>
      <c r="D15" s="4"/>
      <c r="E15" s="4"/>
      <c r="F15" s="4"/>
    </row>
    <row r="16" customFormat="false" ht="15" hidden="false" customHeight="false" outlineLevel="0" collapsed="false">
      <c r="B16" s="6" t="s">
        <v>12</v>
      </c>
      <c r="C16" s="7" t="s">
        <v>13</v>
      </c>
    </row>
    <row r="17" customFormat="false" ht="15" hidden="false" customHeight="false" outlineLevel="0" collapsed="false">
      <c r="B17" s="8" t="s">
        <v>14</v>
      </c>
      <c r="C17" s="7" t="s">
        <v>15</v>
      </c>
    </row>
    <row r="18" customFormat="false" ht="15" hidden="false" customHeight="false" outlineLevel="0" collapsed="false">
      <c r="B18" s="9" t="s">
        <v>16</v>
      </c>
      <c r="C18" s="7" t="s">
        <v>17</v>
      </c>
    </row>
    <row r="19" customFormat="false" ht="15" hidden="false" customHeight="false" outlineLevel="0" collapsed="false">
      <c r="B19" s="10" t="s">
        <v>18</v>
      </c>
      <c r="C19" s="7" t="s">
        <v>19</v>
      </c>
    </row>
    <row r="20" customFormat="false" ht="15" hidden="false" customHeight="false" outlineLevel="0" collapsed="false">
      <c r="B20" s="11" t="s">
        <v>20</v>
      </c>
    </row>
    <row r="22" customFormat="false" ht="15" hidden="false" customHeight="false" outlineLevel="0" collapsed="false">
      <c r="B22" s="3" t="s">
        <v>21</v>
      </c>
      <c r="C22" s="4"/>
      <c r="D22" s="4"/>
      <c r="E22" s="4"/>
      <c r="F22" s="4"/>
    </row>
    <row r="23" customFormat="false" ht="15" hidden="false" customHeight="false" outlineLevel="0" collapsed="false">
      <c r="B23" s="12" t="s">
        <v>22</v>
      </c>
      <c r="C23" s="13" t="s">
        <v>23</v>
      </c>
      <c r="D23" s="13" t="s">
        <v>24</v>
      </c>
      <c r="E23" s="13" t="s">
        <v>25</v>
      </c>
      <c r="F23" s="13" t="s">
        <v>26</v>
      </c>
      <c r="G23" s="13" t="s">
        <v>27</v>
      </c>
      <c r="H23" s="13" t="s">
        <v>28</v>
      </c>
      <c r="I23" s="13" t="s">
        <v>29</v>
      </c>
      <c r="J23" s="13" t="s">
        <v>30</v>
      </c>
      <c r="K23" s="13" t="s">
        <v>31</v>
      </c>
    </row>
    <row r="24" customFormat="false" ht="15" hidden="false" customHeight="false" outlineLevel="0" collapsed="false">
      <c r="B24" s="7" t="s">
        <v>32</v>
      </c>
      <c r="C24" s="14" t="n">
        <v>15.42</v>
      </c>
      <c r="D24" s="14" t="n">
        <v>16.47</v>
      </c>
      <c r="E24" s="14" t="n">
        <v>18.21</v>
      </c>
      <c r="F24" s="14" t="n">
        <v>17.33</v>
      </c>
      <c r="G24" s="14" t="n">
        <v>19.86</v>
      </c>
      <c r="H24" s="14" t="n">
        <v>26.1</v>
      </c>
      <c r="I24" s="14" t="n">
        <v>27.93</v>
      </c>
      <c r="J24" s="14" t="n">
        <v>31.49</v>
      </c>
      <c r="K24" s="14" t="n">
        <v>35.23</v>
      </c>
    </row>
    <row r="25" customFormat="false" ht="15" hidden="false" customHeight="false" outlineLevel="0" collapsed="false">
      <c r="B25" s="7" t="s">
        <v>33</v>
      </c>
      <c r="C25" s="14" t="n">
        <v>0.15</v>
      </c>
      <c r="D25" s="14" t="n">
        <v>0.39</v>
      </c>
      <c r="E25" s="14" t="n">
        <v>0.75</v>
      </c>
      <c r="F25" s="14" t="n">
        <v>0.68</v>
      </c>
      <c r="G25" s="14" t="n">
        <v>1.33</v>
      </c>
      <c r="H25" s="14" t="n">
        <v>1.21</v>
      </c>
      <c r="I25" s="14" t="n">
        <v>0.86</v>
      </c>
      <c r="J25" s="14" t="n">
        <v>1.17</v>
      </c>
      <c r="K25" s="14" t="n">
        <v>1.13</v>
      </c>
    </row>
    <row r="26" customFormat="false" ht="15" hidden="false" customHeight="false" outlineLevel="0" collapsed="false">
      <c r="B26" s="7" t="s">
        <v>34</v>
      </c>
      <c r="C26" s="15" t="n">
        <v>0.0095</v>
      </c>
      <c r="D26" s="15" t="n">
        <v>0.0234</v>
      </c>
      <c r="E26" s="15" t="n">
        <v>0.0412</v>
      </c>
      <c r="F26" s="15" t="n">
        <v>0.0395</v>
      </c>
      <c r="G26" s="15" t="n">
        <v>0.0669</v>
      </c>
      <c r="H26" s="15" t="n">
        <v>0.0463</v>
      </c>
      <c r="I26" s="15" t="n">
        <v>0.0309</v>
      </c>
      <c r="J26" s="15" t="n">
        <v>0.0371</v>
      </c>
      <c r="K26" s="15" t="n">
        <v>0.0322</v>
      </c>
    </row>
    <row r="27" customFormat="false" ht="15" hidden="false" customHeight="false" outlineLevel="0" collapsed="false">
      <c r="B27" s="11" t="s">
        <v>35</v>
      </c>
    </row>
    <row r="32" customFormat="false" ht="15" hidden="false" customHeight="false" outlineLevel="0" collapsed="false">
      <c r="B32" s="3" t="s">
        <v>36</v>
      </c>
      <c r="C32" s="4"/>
      <c r="D32" s="4"/>
      <c r="E32" s="4"/>
      <c r="F32" s="4"/>
    </row>
    <row r="33" customFormat="false" ht="15" hidden="false" customHeight="false" outlineLevel="0" collapsed="false">
      <c r="B33" s="7" t="s">
        <v>37</v>
      </c>
      <c r="C33" s="14" t="n">
        <v>35.017</v>
      </c>
      <c r="E33" s="6" t="s">
        <v>12</v>
      </c>
      <c r="F33" s="11" t="s">
        <v>38</v>
      </c>
    </row>
    <row r="34" customFormat="false" ht="15" hidden="false" customHeight="false" outlineLevel="0" collapsed="false">
      <c r="B34" s="7" t="s">
        <v>39</v>
      </c>
      <c r="C34" s="14" t="n">
        <v>-26.009</v>
      </c>
      <c r="E34" s="6" t="s">
        <v>12</v>
      </c>
      <c r="F34" s="11" t="s">
        <v>40</v>
      </c>
    </row>
    <row r="35" customFormat="false" ht="15" hidden="false" customHeight="false" outlineLevel="0" collapsed="false">
      <c r="B35" s="7" t="s">
        <v>41</v>
      </c>
      <c r="C35" s="16" t="n">
        <f aca="false">C33+C34</f>
        <v>9.008</v>
      </c>
      <c r="E35" s="8" t="s">
        <v>14</v>
      </c>
      <c r="F35" s="11" t="s">
        <v>42</v>
      </c>
    </row>
    <row r="36" customFormat="false" ht="15" hidden="false" customHeight="false" outlineLevel="0" collapsed="false">
      <c r="B36" s="7" t="s">
        <v>43</v>
      </c>
      <c r="C36" s="14" t="n">
        <v>0.753</v>
      </c>
      <c r="E36" s="6" t="s">
        <v>12</v>
      </c>
      <c r="F36" s="11" t="s">
        <v>40</v>
      </c>
    </row>
    <row r="37" customFormat="false" ht="15" hidden="false" customHeight="false" outlineLevel="0" collapsed="false">
      <c r="B37" s="7" t="s">
        <v>44</v>
      </c>
      <c r="C37" s="14" t="n">
        <v>0.368</v>
      </c>
      <c r="E37" s="6" t="s">
        <v>12</v>
      </c>
      <c r="F37" s="11" t="s">
        <v>45</v>
      </c>
    </row>
    <row r="38" customFormat="false" ht="15" hidden="false" customHeight="false" outlineLevel="0" collapsed="false">
      <c r="B38" s="7" t="s">
        <v>46</v>
      </c>
      <c r="C38" s="14" t="n">
        <v>0.005</v>
      </c>
      <c r="E38" s="6" t="s">
        <v>12</v>
      </c>
      <c r="F38" s="11" t="s">
        <v>45</v>
      </c>
    </row>
    <row r="39" customFormat="false" ht="15" hidden="false" customHeight="false" outlineLevel="0" collapsed="false">
      <c r="B39" s="7" t="s">
        <v>47</v>
      </c>
      <c r="C39" s="16" t="n">
        <f aca="false">C36+C37+C38</f>
        <v>1.126</v>
      </c>
      <c r="E39" s="8" t="s">
        <v>14</v>
      </c>
      <c r="F39" s="11" t="s">
        <v>48</v>
      </c>
    </row>
    <row r="40" customFormat="false" ht="15" hidden="false" customHeight="false" outlineLevel="0" collapsed="false">
      <c r="B40" s="7" t="s">
        <v>49</v>
      </c>
      <c r="C40" s="17" t="n">
        <f aca="false">C39/C33</f>
        <v>0.0321558100351258</v>
      </c>
      <c r="E40" s="8" t="s">
        <v>14</v>
      </c>
      <c r="F40" s="11" t="s">
        <v>50</v>
      </c>
    </row>
    <row r="42" customFormat="false" ht="15" hidden="false" customHeight="false" outlineLevel="0" collapsed="false">
      <c r="B42" s="7" t="s">
        <v>51</v>
      </c>
      <c r="C42" s="14" t="n">
        <v>0.415</v>
      </c>
      <c r="E42" s="6" t="s">
        <v>12</v>
      </c>
      <c r="F42" s="11" t="s">
        <v>52</v>
      </c>
    </row>
    <row r="43" customFormat="false" ht="15" hidden="false" customHeight="false" outlineLevel="0" collapsed="false">
      <c r="B43" s="7" t="s">
        <v>53</v>
      </c>
      <c r="C43" s="14" t="n">
        <v>0.807</v>
      </c>
      <c r="E43" s="6" t="s">
        <v>12</v>
      </c>
      <c r="F43" s="11" t="s">
        <v>52</v>
      </c>
    </row>
    <row r="44" customFormat="false" ht="15" hidden="false" customHeight="false" outlineLevel="0" collapsed="false">
      <c r="B44" s="7" t="s">
        <v>54</v>
      </c>
      <c r="C44" s="14" t="n">
        <v>0.03</v>
      </c>
      <c r="E44" s="6" t="s">
        <v>12</v>
      </c>
      <c r="F44" s="11" t="s">
        <v>55</v>
      </c>
    </row>
    <row r="45" customFormat="false" ht="15" hidden="false" customHeight="false" outlineLevel="0" collapsed="false">
      <c r="B45" s="7" t="s">
        <v>56</v>
      </c>
      <c r="C45" s="16" t="n">
        <f aca="false">C42+C43-C44</f>
        <v>1.192</v>
      </c>
      <c r="E45" s="8" t="s">
        <v>14</v>
      </c>
      <c r="F45" s="11" t="s">
        <v>57</v>
      </c>
    </row>
    <row r="46" customFormat="false" ht="15" hidden="false" customHeight="false" outlineLevel="0" collapsed="false">
      <c r="B46" s="7" t="s">
        <v>58</v>
      </c>
      <c r="C46" s="14" t="n">
        <v>4.516</v>
      </c>
      <c r="E46" s="6" t="s">
        <v>12</v>
      </c>
      <c r="F46" s="11" t="s">
        <v>59</v>
      </c>
    </row>
    <row r="47" customFormat="false" ht="15" hidden="false" customHeight="false" outlineLevel="0" collapsed="false">
      <c r="B47" s="7" t="s">
        <v>60</v>
      </c>
      <c r="C47" s="14" t="n">
        <v>4.909</v>
      </c>
      <c r="E47" s="6" t="s">
        <v>12</v>
      </c>
      <c r="F47" s="11" t="s">
        <v>61</v>
      </c>
    </row>
    <row r="48" customFormat="false" ht="15" hidden="false" customHeight="false" outlineLevel="0" collapsed="false">
      <c r="B48" s="7" t="s">
        <v>62</v>
      </c>
      <c r="C48" s="14" t="n">
        <v>3.614</v>
      </c>
      <c r="E48" s="6" t="s">
        <v>12</v>
      </c>
      <c r="F48" s="11" t="s">
        <v>63</v>
      </c>
    </row>
    <row r="49" customFormat="false" ht="15" hidden="false" customHeight="false" outlineLevel="0" collapsed="false">
      <c r="B49" s="7" t="s">
        <v>64</v>
      </c>
      <c r="C49" s="14" t="n">
        <v>6.621</v>
      </c>
      <c r="E49" s="6" t="s">
        <v>12</v>
      </c>
      <c r="F49" s="11" t="s">
        <v>65</v>
      </c>
    </row>
    <row r="51" customFormat="false" ht="15" hidden="false" customHeight="false" outlineLevel="0" collapsed="false">
      <c r="B51" s="3" t="s">
        <v>66</v>
      </c>
      <c r="C51" s="4"/>
      <c r="D51" s="4"/>
      <c r="E51" s="4"/>
      <c r="F51" s="4"/>
    </row>
    <row r="52" customFormat="false" ht="15" hidden="false" customHeight="false" outlineLevel="0" collapsed="false">
      <c r="B52" s="7" t="s">
        <v>67</v>
      </c>
      <c r="C52" s="18" t="n">
        <v>5.75</v>
      </c>
      <c r="E52" s="9" t="s">
        <v>16</v>
      </c>
      <c r="F52" s="11" t="s">
        <v>68</v>
      </c>
    </row>
    <row r="53" customFormat="false" ht="15" hidden="false" customHeight="false" outlineLevel="0" collapsed="false">
      <c r="B53" s="7" t="s">
        <v>69</v>
      </c>
      <c r="C53" s="16" t="n">
        <f aca="false">C39*C52</f>
        <v>6.4745</v>
      </c>
      <c r="E53" s="8" t="s">
        <v>14</v>
      </c>
      <c r="F53" s="11" t="s">
        <v>70</v>
      </c>
    </row>
    <row r="54" customFormat="false" ht="15" hidden="false" customHeight="false" outlineLevel="0" collapsed="false">
      <c r="B54" s="7" t="s">
        <v>71</v>
      </c>
      <c r="C54" s="14" t="n">
        <v>3.5</v>
      </c>
      <c r="E54" s="9" t="s">
        <v>16</v>
      </c>
      <c r="F54" s="11" t="s">
        <v>72</v>
      </c>
    </row>
    <row r="55" customFormat="false" ht="15" hidden="false" customHeight="false" outlineLevel="0" collapsed="false">
      <c r="B55" s="7" t="s">
        <v>73</v>
      </c>
      <c r="C55" s="16" t="n">
        <f aca="false">C42+C43</f>
        <v>1.222</v>
      </c>
      <c r="E55" s="8" t="s">
        <v>14</v>
      </c>
      <c r="F55" s="11" t="s">
        <v>74</v>
      </c>
    </row>
    <row r="56" customFormat="false" ht="15" hidden="false" customHeight="false" outlineLevel="0" collapsed="false">
      <c r="B56" s="7" t="s">
        <v>75</v>
      </c>
      <c r="C56" s="14" t="n">
        <v>0.2</v>
      </c>
      <c r="E56" s="9" t="s">
        <v>16</v>
      </c>
      <c r="F56" s="11" t="s">
        <v>76</v>
      </c>
    </row>
    <row r="57" customFormat="false" ht="15" hidden="false" customHeight="false" outlineLevel="0" collapsed="false">
      <c r="B57" s="7" t="s">
        <v>77</v>
      </c>
      <c r="C57" s="14" t="n">
        <v>0.29</v>
      </c>
      <c r="E57" s="9" t="s">
        <v>16</v>
      </c>
      <c r="F57" s="11" t="s">
        <v>78</v>
      </c>
    </row>
    <row r="58" customFormat="false" ht="15" hidden="false" customHeight="false" outlineLevel="0" collapsed="false">
      <c r="B58" s="7" t="s">
        <v>79</v>
      </c>
      <c r="C58" s="14" t="n">
        <v>0.4</v>
      </c>
      <c r="E58" s="9" t="s">
        <v>16</v>
      </c>
      <c r="F58" s="11" t="s">
        <v>80</v>
      </c>
    </row>
    <row r="59" customFormat="false" ht="15" hidden="false" customHeight="false" outlineLevel="0" collapsed="false">
      <c r="B59" s="7" t="s">
        <v>81</v>
      </c>
      <c r="C59" s="19" t="n">
        <f aca="false">C54/C39</f>
        <v>3.10834813499112</v>
      </c>
      <c r="E59" s="8" t="s">
        <v>14</v>
      </c>
      <c r="F59" s="11" t="s">
        <v>82</v>
      </c>
    </row>
    <row r="61" customFormat="false" ht="15" hidden="false" customHeight="false" outlineLevel="0" collapsed="false">
      <c r="B61" s="3" t="s">
        <v>83</v>
      </c>
      <c r="C61" s="4"/>
      <c r="D61" s="4"/>
      <c r="E61" s="4"/>
      <c r="F61" s="4"/>
    </row>
    <row r="62" customFormat="false" ht="15" hidden="false" customHeight="false" outlineLevel="0" collapsed="false">
      <c r="B62" s="7" t="s">
        <v>84</v>
      </c>
      <c r="C62" s="15" t="n">
        <v>0.08</v>
      </c>
      <c r="D62" s="15" t="n">
        <v>0.06</v>
      </c>
      <c r="E62" s="15" t="n">
        <v>0.04</v>
      </c>
      <c r="F62" s="15" t="n">
        <v>0.03</v>
      </c>
      <c r="G62" s="9" t="s">
        <v>16</v>
      </c>
      <c r="H62" s="11" t="s">
        <v>85</v>
      </c>
    </row>
    <row r="63" customFormat="false" ht="15" hidden="false" customHeight="false" outlineLevel="0" collapsed="false">
      <c r="B63" s="7" t="s">
        <v>86</v>
      </c>
      <c r="C63" s="15" t="n">
        <v>0.04</v>
      </c>
      <c r="D63" s="15" t="n">
        <v>0.042</v>
      </c>
      <c r="E63" s="15" t="n">
        <v>0.044</v>
      </c>
      <c r="F63" s="15" t="n">
        <v>0.046</v>
      </c>
      <c r="G63" s="9" t="s">
        <v>16</v>
      </c>
      <c r="H63" s="11" t="s">
        <v>87</v>
      </c>
    </row>
    <row r="64" customFormat="false" ht="15" hidden="false" customHeight="false" outlineLevel="0" collapsed="false">
      <c r="B64" s="7" t="s">
        <v>88</v>
      </c>
      <c r="C64" s="17" t="n">
        <f aca="false">(C37+C38)/C33</f>
        <v>0.0106519690436074</v>
      </c>
      <c r="E64" s="8" t="s">
        <v>14</v>
      </c>
      <c r="F64" s="11" t="s">
        <v>89</v>
      </c>
    </row>
    <row r="65" customFormat="false" ht="15" hidden="false" customHeight="false" outlineLevel="0" collapsed="false">
      <c r="B65" s="7" t="s">
        <v>90</v>
      </c>
      <c r="C65" s="15" t="n">
        <v>0.02</v>
      </c>
      <c r="E65" s="9" t="s">
        <v>16</v>
      </c>
      <c r="F65" s="11" t="s">
        <v>91</v>
      </c>
    </row>
    <row r="66" customFormat="false" ht="15" hidden="false" customHeight="false" outlineLevel="0" collapsed="false">
      <c r="B66" s="7" t="s">
        <v>92</v>
      </c>
      <c r="C66" s="15" t="n">
        <v>0.219</v>
      </c>
      <c r="E66" s="8" t="s">
        <v>14</v>
      </c>
      <c r="F66" s="11" t="s">
        <v>93</v>
      </c>
    </row>
    <row r="67" customFormat="false" ht="15" hidden="false" customHeight="false" outlineLevel="0" collapsed="false">
      <c r="B67" s="7" t="s">
        <v>94</v>
      </c>
      <c r="C67" s="15" t="n">
        <v>0.25</v>
      </c>
      <c r="E67" s="9" t="s">
        <v>16</v>
      </c>
      <c r="F67" s="11" t="s">
        <v>95</v>
      </c>
    </row>
    <row r="68" customFormat="false" ht="15" hidden="false" customHeight="false" outlineLevel="0" collapsed="false">
      <c r="B68" s="7" t="s">
        <v>96</v>
      </c>
      <c r="C68" s="15" t="n">
        <v>0.085</v>
      </c>
      <c r="E68" s="9" t="s">
        <v>16</v>
      </c>
      <c r="F68" s="11" t="s">
        <v>97</v>
      </c>
    </row>
    <row r="69" customFormat="false" ht="15" hidden="false" customHeight="false" outlineLevel="0" collapsed="false">
      <c r="B69" s="7" t="s">
        <v>98</v>
      </c>
      <c r="C69" s="15" t="n">
        <v>0.75</v>
      </c>
      <c r="E69" s="9" t="s">
        <v>16</v>
      </c>
      <c r="F69" s="11" t="s">
        <v>99</v>
      </c>
    </row>
    <row r="70" customFormat="false" ht="15" hidden="false" customHeight="false" outlineLevel="0" collapsed="false">
      <c r="B70" s="7" t="s">
        <v>100</v>
      </c>
      <c r="C70" s="14" t="n">
        <v>0.5</v>
      </c>
      <c r="E70" s="9" t="s">
        <v>16</v>
      </c>
      <c r="F70" s="11" t="s">
        <v>101</v>
      </c>
    </row>
    <row r="72" customFormat="false" ht="15" hidden="false" customHeight="false" outlineLevel="0" collapsed="false">
      <c r="B72" s="3" t="s">
        <v>102</v>
      </c>
      <c r="C72" s="4"/>
      <c r="D72" s="4"/>
      <c r="E72" s="4"/>
      <c r="F72" s="4"/>
    </row>
    <row r="73" customFormat="false" ht="15" hidden="false" customHeight="false" outlineLevel="0" collapsed="false">
      <c r="B73" s="7" t="s">
        <v>103</v>
      </c>
      <c r="C73" s="20" t="n">
        <v>4</v>
      </c>
      <c r="E73" s="9" t="s">
        <v>16</v>
      </c>
      <c r="F73" s="11" t="s">
        <v>104</v>
      </c>
    </row>
    <row r="74" customFormat="false" ht="15" hidden="false" customHeight="false" outlineLevel="0" collapsed="false">
      <c r="B74" s="7" t="s">
        <v>105</v>
      </c>
      <c r="C74" s="18" t="n">
        <v>6</v>
      </c>
      <c r="E74" s="9" t="s">
        <v>16</v>
      </c>
      <c r="F74" s="11" t="s">
        <v>106</v>
      </c>
    </row>
    <row r="76" customFormat="false" ht="15" hidden="false" customHeight="false" outlineLevel="0" collapsed="false">
      <c r="B76" s="3" t="s">
        <v>107</v>
      </c>
      <c r="C76" s="4"/>
      <c r="D76" s="4"/>
      <c r="E76" s="4"/>
      <c r="F76" s="4"/>
    </row>
    <row r="77" customFormat="false" ht="15" hidden="false" customHeight="false" outlineLevel="0" collapsed="false">
      <c r="B77" s="7" t="s">
        <v>108</v>
      </c>
      <c r="C77" s="14" t="n">
        <v>0.415</v>
      </c>
      <c r="E77" s="6" t="s">
        <v>12</v>
      </c>
      <c r="F77" s="11" t="s">
        <v>109</v>
      </c>
    </row>
    <row r="78" customFormat="false" ht="15" hidden="false" customHeight="false" outlineLevel="0" collapsed="false">
      <c r="B78" s="7" t="s">
        <v>110</v>
      </c>
      <c r="C78" s="14" t="n">
        <v>0.807</v>
      </c>
      <c r="E78" s="6" t="s">
        <v>12</v>
      </c>
      <c r="F78" s="11" t="s">
        <v>109</v>
      </c>
    </row>
    <row r="79" customFormat="false" ht="15" hidden="false" customHeight="false" outlineLevel="0" collapsed="false">
      <c r="B79" s="7" t="s">
        <v>111</v>
      </c>
      <c r="C79" s="14" t="n">
        <v>0.027</v>
      </c>
      <c r="E79" s="6" t="s">
        <v>12</v>
      </c>
      <c r="F79" s="11" t="s">
        <v>112</v>
      </c>
    </row>
    <row r="80" customFormat="false" ht="15" hidden="false" customHeight="false" outlineLevel="0" collapsed="false">
      <c r="B80" s="7" t="s">
        <v>113</v>
      </c>
      <c r="C80" s="14" t="n">
        <v>-0.03</v>
      </c>
      <c r="E80" s="6" t="s">
        <v>12</v>
      </c>
      <c r="F80" s="11" t="s">
        <v>114</v>
      </c>
    </row>
    <row r="81" customFormat="false" ht="15" hidden="false" customHeight="false" outlineLevel="0" collapsed="false">
      <c r="B81" s="7" t="s">
        <v>115</v>
      </c>
      <c r="C81" s="16" t="n">
        <f aca="false">SUM(C77:C80)</f>
        <v>1.219</v>
      </c>
      <c r="E81" s="8" t="s">
        <v>14</v>
      </c>
      <c r="F81" s="11" t="s">
        <v>116</v>
      </c>
    </row>
    <row r="100" customFormat="false" ht="15" hidden="false" customHeight="false" outlineLevel="0" collapsed="false">
      <c r="B100" s="3" t="s">
        <v>117</v>
      </c>
      <c r="C100" s="4"/>
      <c r="D100" s="4"/>
      <c r="E100" s="4"/>
      <c r="F100" s="4"/>
    </row>
    <row r="101" customFormat="false" ht="15" hidden="false" customHeight="false" outlineLevel="0" collapsed="false">
      <c r="B101" s="13" t="s">
        <v>118</v>
      </c>
      <c r="C101" s="13" t="s">
        <v>119</v>
      </c>
      <c r="D101" s="13" t="s">
        <v>47</v>
      </c>
      <c r="E101" s="13" t="s">
        <v>34</v>
      </c>
      <c r="F101" s="13" t="s">
        <v>120</v>
      </c>
    </row>
    <row r="102" customFormat="false" ht="15" hidden="false" customHeight="false" outlineLevel="0" collapsed="false">
      <c r="B102" s="7" t="s">
        <v>121</v>
      </c>
      <c r="C102" s="14" t="n">
        <v>35.02</v>
      </c>
      <c r="D102" s="14" t="n">
        <v>1.13</v>
      </c>
      <c r="E102" s="15" t="n">
        <v>0.0322</v>
      </c>
      <c r="F102" s="11" t="s">
        <v>122</v>
      </c>
    </row>
    <row r="103" customFormat="false" ht="15" hidden="false" customHeight="false" outlineLevel="0" collapsed="false">
      <c r="B103" s="7" t="s">
        <v>123</v>
      </c>
      <c r="C103" s="14" t="n">
        <v>19.86</v>
      </c>
      <c r="D103" s="14" t="n">
        <v>1.33</v>
      </c>
      <c r="E103" s="15" t="n">
        <v>0.0669</v>
      </c>
      <c r="F103" s="11" t="s">
        <v>124</v>
      </c>
    </row>
    <row r="104" customFormat="false" ht="15" hidden="false" customHeight="false" outlineLevel="0" collapsed="false">
      <c r="B104" s="7" t="s">
        <v>125</v>
      </c>
      <c r="C104" s="14" t="n">
        <v>17.3</v>
      </c>
      <c r="D104" s="14" t="n">
        <v>1.64</v>
      </c>
      <c r="E104" s="15" t="n">
        <v>0.0951</v>
      </c>
      <c r="F104" s="11" t="s">
        <v>126</v>
      </c>
    </row>
    <row r="105" customFormat="false" ht="15" hidden="false" customHeight="false" outlineLevel="0" collapsed="false">
      <c r="B105" s="7" t="s">
        <v>127</v>
      </c>
      <c r="C105" s="14" t="n">
        <v>710.3</v>
      </c>
      <c r="D105" s="14" t="n">
        <v>62</v>
      </c>
      <c r="E105" s="15" t="n">
        <v>0.0873</v>
      </c>
      <c r="F105" s="11" t="s">
        <v>128</v>
      </c>
    </row>
    <row r="106" customFormat="false" ht="15" hidden="false" customHeight="false" outlineLevel="0" collapsed="false">
      <c r="B106" s="7" t="s">
        <v>129</v>
      </c>
      <c r="E106" s="15" t="n">
        <v>0.0958</v>
      </c>
      <c r="F106" s="11" t="s">
        <v>130</v>
      </c>
    </row>
    <row r="107" customFormat="false" ht="15" hidden="false" customHeight="false" outlineLevel="0" collapsed="false">
      <c r="B107" s="7" t="s">
        <v>131</v>
      </c>
      <c r="E107" s="21" t="s">
        <v>132</v>
      </c>
      <c r="F107" s="11" t="s">
        <v>133</v>
      </c>
    </row>
    <row r="109" customFormat="false" ht="15" hidden="false" customHeight="false" outlineLevel="0" collapsed="false">
      <c r="B109" s="22" t="s">
        <v>134</v>
      </c>
    </row>
    <row r="110" customFormat="false" ht="15" hidden="false" customHeight="false" outlineLevel="0" collapsed="false">
      <c r="B110" s="11" t="s">
        <v>135</v>
      </c>
    </row>
    <row r="111" customFormat="false" ht="15" hidden="false" customHeight="false" outlineLevel="0" collapsed="false">
      <c r="B111" s="11" t="s">
        <v>136</v>
      </c>
    </row>
    <row r="112" customFormat="false" ht="15" hidden="false" customHeight="false" outlineLevel="0" collapsed="false">
      <c r="B112" s="11" t="s">
        <v>137</v>
      </c>
    </row>
    <row r="113" customFormat="false" ht="15" hidden="false" customHeight="false" outlineLevel="0" collapsed="false">
      <c r="B113" s="11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9" min="3" style="0" width="13"/>
  </cols>
  <sheetData>
    <row r="1" customFormat="false" ht="17.35" hidden="false" customHeight="false" outlineLevel="0" collapsed="false">
      <c r="B1" s="1" t="s">
        <v>139</v>
      </c>
    </row>
    <row r="3" customFormat="false" ht="15" hidden="false" customHeight="false" outlineLevel="0" collapsed="false">
      <c r="B3" s="3" t="s">
        <v>140</v>
      </c>
      <c r="C3" s="4"/>
      <c r="D3" s="4"/>
      <c r="E3" s="4"/>
      <c r="F3" s="4"/>
      <c r="G3" s="4"/>
      <c r="H3" s="4"/>
      <c r="I3" s="4"/>
      <c r="J3" s="4"/>
    </row>
    <row r="5" customFormat="false" ht="15" hidden="false" customHeight="false" outlineLevel="0" collapsed="false">
      <c r="B5" s="13" t="s">
        <v>141</v>
      </c>
      <c r="F5" s="13" t="s">
        <v>142</v>
      </c>
    </row>
    <row r="6" customFormat="false" ht="15" hidden="false" customHeight="false" outlineLevel="0" collapsed="false">
      <c r="B6" s="7" t="s">
        <v>143</v>
      </c>
      <c r="C6" s="23" t="n">
        <f aca="false">'Cover &amp; Assumptions'!C39</f>
        <v>1.126</v>
      </c>
      <c r="F6" s="7" t="s">
        <v>144</v>
      </c>
      <c r="G6" s="24" t="n">
        <f aca="false">'Cover &amp; Assumptions'!C54/'Cover &amp; Assumptions'!C53</f>
        <v>0.540582284346282</v>
      </c>
      <c r="H6" s="7" t="s">
        <v>145</v>
      </c>
      <c r="I6" s="24" t="n">
        <f aca="false">'Cover &amp; Assumptions'!C68</f>
        <v>0.085</v>
      </c>
    </row>
    <row r="7" customFormat="false" ht="15" hidden="false" customHeight="false" outlineLevel="0" collapsed="false">
      <c r="B7" s="7" t="s">
        <v>146</v>
      </c>
      <c r="C7" s="25" t="n">
        <f aca="false">'Cover &amp; Assumptions'!C52</f>
        <v>5.75</v>
      </c>
      <c r="F7" s="7" t="s">
        <v>147</v>
      </c>
      <c r="G7" s="23" t="n">
        <f aca="false">'Cover &amp; Assumptions'!C54</f>
        <v>3.5</v>
      </c>
    </row>
    <row r="8" customFormat="false" ht="15" hidden="false" customHeight="false" outlineLevel="0" collapsed="false">
      <c r="B8" s="22" t="s">
        <v>148</v>
      </c>
      <c r="C8" s="26" t="n">
        <f aca="false">C6*C7</f>
        <v>6.4745</v>
      </c>
    </row>
    <row r="9" customFormat="false" ht="15" hidden="false" customHeight="false" outlineLevel="0" collapsed="false">
      <c r="B9" s="7" t="s">
        <v>149</v>
      </c>
      <c r="C9" s="23" t="n">
        <f aca="false">'Cover &amp; Assumptions'!C44</f>
        <v>0.03</v>
      </c>
    </row>
    <row r="10" customFormat="false" ht="15" hidden="false" customHeight="false" outlineLevel="0" collapsed="false">
      <c r="B10" s="7" t="s">
        <v>150</v>
      </c>
      <c r="C10" s="23" t="n">
        <f aca="false">-('Cover &amp; Assumptions'!C42+'Cover &amp; Assumptions'!C43+'Cover &amp; Assumptions'!C79)</f>
        <v>-1.249</v>
      </c>
    </row>
    <row r="11" customFormat="false" ht="15" hidden="false" customHeight="false" outlineLevel="0" collapsed="false">
      <c r="B11" s="22" t="s">
        <v>151</v>
      </c>
      <c r="C11" s="27" t="n">
        <f aca="false">C8+C9+C10</f>
        <v>5.2555</v>
      </c>
    </row>
    <row r="13" customFormat="false" ht="15" hidden="false" customHeight="false" outlineLevel="0" collapsed="false">
      <c r="B13" s="13" t="s">
        <v>152</v>
      </c>
      <c r="F13" s="13" t="s">
        <v>153</v>
      </c>
    </row>
    <row r="14" customFormat="false" ht="15" hidden="false" customHeight="false" outlineLevel="0" collapsed="false">
      <c r="B14" s="7" t="s">
        <v>154</v>
      </c>
      <c r="C14" s="24" t="n">
        <f aca="false">AVERAGE('Cover &amp; Assumptions'!C62:F62)</f>
        <v>0.0525</v>
      </c>
      <c r="F14" s="7" t="s">
        <v>155</v>
      </c>
      <c r="G14" s="25" t="n">
        <f aca="false">'Cover &amp; Assumptions'!C74</f>
        <v>6</v>
      </c>
    </row>
    <row r="15" customFormat="false" ht="15" hidden="false" customHeight="false" outlineLevel="0" collapsed="false">
      <c r="B15" s="7" t="s">
        <v>156</v>
      </c>
      <c r="C15" s="24" t="n">
        <f aca="false">'Cover &amp; Assumptions'!F63</f>
        <v>0.046</v>
      </c>
      <c r="F15" s="7" t="s">
        <v>157</v>
      </c>
      <c r="G15" s="28" t="n">
        <f aca="false">'Cover &amp; Assumptions'!C73</f>
        <v>4</v>
      </c>
    </row>
    <row r="16" customFormat="false" ht="15" hidden="false" customHeight="false" outlineLevel="0" collapsed="false">
      <c r="B16" s="7" t="s">
        <v>158</v>
      </c>
      <c r="C16" s="24" t="n">
        <f aca="false">'Cover &amp; Assumptions'!C67</f>
        <v>0.25</v>
      </c>
    </row>
    <row r="18" customFormat="false" ht="15" hidden="false" customHeight="false" outlineLevel="0" collapsed="false">
      <c r="B18" s="13" t="s">
        <v>159</v>
      </c>
      <c r="F18" s="13" t="s">
        <v>160</v>
      </c>
    </row>
    <row r="19" customFormat="false" ht="15" hidden="false" customHeight="false" outlineLevel="0" collapsed="false">
      <c r="B19" s="7" t="s">
        <v>161</v>
      </c>
      <c r="C19" s="16" t="n">
        <f aca="false">C11</f>
        <v>5.2555</v>
      </c>
      <c r="F19" s="7" t="s">
        <v>162</v>
      </c>
      <c r="G19" s="7" t="s">
        <v>163</v>
      </c>
    </row>
    <row r="20" customFormat="false" ht="15" hidden="false" customHeight="false" outlineLevel="0" collapsed="false">
      <c r="B20" s="7" t="s">
        <v>164</v>
      </c>
      <c r="C20" s="16" t="n">
        <f aca="false">-C10</f>
        <v>1.249</v>
      </c>
      <c r="F20" s="7" t="s">
        <v>165</v>
      </c>
      <c r="G20" s="17" t="n">
        <f aca="false">G6</f>
        <v>0.540582284346282</v>
      </c>
      <c r="H20" s="16" t="n">
        <f aca="false">G7</f>
        <v>3.5</v>
      </c>
    </row>
    <row r="21" customFormat="false" ht="15" hidden="false" customHeight="false" outlineLevel="0" collapsed="false">
      <c r="B21" s="7" t="s">
        <v>166</v>
      </c>
      <c r="C21" s="23" t="n">
        <f aca="false">'Cover &amp; Assumptions'!C58</f>
        <v>0.4</v>
      </c>
      <c r="F21" s="7" t="s">
        <v>167</v>
      </c>
      <c r="G21" s="17" t="n">
        <f aca="false">H21/C24</f>
        <v>0.0277990131350337</v>
      </c>
      <c r="H21" s="23" t="n">
        <f aca="false">'Cover &amp; Assumptions'!C56</f>
        <v>0.2</v>
      </c>
    </row>
    <row r="22" customFormat="false" ht="15" hidden="false" customHeight="false" outlineLevel="0" collapsed="false">
      <c r="B22" s="7" t="s">
        <v>168</v>
      </c>
      <c r="C22" s="23" t="n">
        <f aca="false">'Cover &amp; Assumptions'!C57</f>
        <v>0.29</v>
      </c>
      <c r="F22" s="7" t="s">
        <v>169</v>
      </c>
      <c r="G22" s="17" t="n">
        <f aca="false">1-G20-G21</f>
        <v>0.431618702518685</v>
      </c>
      <c r="H22" s="16" t="n">
        <f aca="false">C24-H20-H21</f>
        <v>3.4945</v>
      </c>
    </row>
    <row r="23" customFormat="false" ht="15" hidden="false" customHeight="false" outlineLevel="0" collapsed="false">
      <c r="B23" s="22" t="s">
        <v>170</v>
      </c>
      <c r="C23" s="27" t="n">
        <f aca="false">SUM(C19:C22)</f>
        <v>7.1945</v>
      </c>
      <c r="F23" s="22" t="s">
        <v>171</v>
      </c>
      <c r="G23" s="29" t="n">
        <f aca="false">SUM(G20:G22)</f>
        <v>1</v>
      </c>
      <c r="H23" s="27" t="n">
        <f aca="false">SUM(H20:H22)</f>
        <v>7.1945</v>
      </c>
    </row>
    <row r="24" customFormat="false" ht="15" hidden="false" customHeight="false" outlineLevel="0" collapsed="false">
      <c r="B24" s="30" t="s">
        <v>172</v>
      </c>
      <c r="C24" s="31" t="n">
        <f aca="false">C23</f>
        <v>7.1945</v>
      </c>
      <c r="F24" s="7" t="s">
        <v>173</v>
      </c>
      <c r="G24" s="22" t="str">
        <f aca="false">IF(ROUND(H23-C23,2)=0,"OK","ERROR")</f>
        <v>OK</v>
      </c>
    </row>
    <row r="26" customFormat="false" ht="15" hidden="false" customHeight="false" outlineLevel="0" collapsed="false">
      <c r="B26" s="11" t="s">
        <v>174</v>
      </c>
    </row>
    <row r="30" customFormat="false" ht="15" hidden="false" customHeight="false" outlineLevel="0" collapsed="false">
      <c r="B30" s="22" t="s">
        <v>175</v>
      </c>
      <c r="C30" s="16" t="n">
        <f aca="false">'Cover &amp; Assumptions'!$C$33</f>
        <v>35.017</v>
      </c>
      <c r="D30" s="16" t="n">
        <f aca="false">C30*(1+'Cover &amp; Assumptions'!C62)</f>
        <v>37.81836</v>
      </c>
      <c r="E30" s="16" t="n">
        <f aca="false">D30*(1+'Cover &amp; Assumptions'!D62)</f>
        <v>40.0874616</v>
      </c>
      <c r="F30" s="16" t="n">
        <f aca="false">E30*(1+'Cover &amp; Assumptions'!E62)</f>
        <v>41.690960064</v>
      </c>
      <c r="G30" s="16" t="n">
        <f aca="false">F30*(1+'Cover &amp; Assumptions'!F62)</f>
        <v>42.94168886592</v>
      </c>
    </row>
    <row r="31" customFormat="false" ht="15" hidden="false" customHeight="false" outlineLevel="0" collapsed="false">
      <c r="B31" s="7" t="s">
        <v>34</v>
      </c>
      <c r="C31" s="17" t="n">
        <f aca="false">'Cover &amp; Assumptions'!$C$40</f>
        <v>0.0321558100351258</v>
      </c>
      <c r="D31" s="17" t="n">
        <f aca="false">'Cover &amp; Assumptions'!C63</f>
        <v>0.04</v>
      </c>
      <c r="E31" s="17" t="n">
        <f aca="false">'Cover &amp; Assumptions'!D63</f>
        <v>0.042</v>
      </c>
      <c r="F31" s="17" t="n">
        <f aca="false">'Cover &amp; Assumptions'!E63</f>
        <v>0.044</v>
      </c>
      <c r="G31" s="17" t="n">
        <f aca="false">'Cover &amp; Assumptions'!F63</f>
        <v>0.046</v>
      </c>
    </row>
    <row r="32" customFormat="false" ht="15" hidden="false" customHeight="false" outlineLevel="0" collapsed="false">
      <c r="B32" s="22" t="s">
        <v>176</v>
      </c>
      <c r="C32" s="26" t="n">
        <f aca="false">C30*C31</f>
        <v>1.126</v>
      </c>
      <c r="D32" s="26" t="n">
        <f aca="false">D30*D31</f>
        <v>1.5127344</v>
      </c>
      <c r="E32" s="26" t="n">
        <f aca="false">E30*E31</f>
        <v>1.6836733872</v>
      </c>
      <c r="F32" s="26" t="n">
        <f aca="false">F30*F31</f>
        <v>1.834402242816</v>
      </c>
      <c r="G32" s="26" t="n">
        <f aca="false">G30*G31</f>
        <v>1.97531768783232</v>
      </c>
    </row>
    <row r="33" customFormat="false" ht="15" hidden="false" customHeight="false" outlineLevel="0" collapsed="false">
      <c r="B33" s="7" t="s">
        <v>177</v>
      </c>
      <c r="C33" s="16" t="n">
        <f aca="false">-C30*'Cover &amp; Assumptions'!$C$64</f>
        <v>-0.373</v>
      </c>
      <c r="D33" s="16" t="n">
        <f aca="false">-D30*'Cover &amp; Assumptions'!$C$64</f>
        <v>-0.40284</v>
      </c>
      <c r="E33" s="16" t="n">
        <f aca="false">-E30*'Cover &amp; Assumptions'!$C$64</f>
        <v>-0.4270104</v>
      </c>
      <c r="F33" s="16" t="n">
        <f aca="false">-F30*'Cover &amp; Assumptions'!$C$64</f>
        <v>-0.444090816</v>
      </c>
      <c r="G33" s="16" t="n">
        <f aca="false">-G30*'Cover &amp; Assumptions'!$C$64</f>
        <v>-0.45741354048</v>
      </c>
    </row>
    <row r="34" customFormat="false" ht="15" hidden="false" customHeight="false" outlineLevel="0" collapsed="false">
      <c r="B34" s="7" t="s">
        <v>178</v>
      </c>
      <c r="C34" s="16" t="n">
        <f aca="false">C32+C33</f>
        <v>0.753</v>
      </c>
      <c r="D34" s="16" t="n">
        <f aca="false">D32+D33</f>
        <v>1.1098944</v>
      </c>
      <c r="E34" s="16" t="n">
        <f aca="false">E32+E33</f>
        <v>1.2566629872</v>
      </c>
      <c r="F34" s="16" t="n">
        <f aca="false">F32+F33</f>
        <v>1.390311426816</v>
      </c>
      <c r="G34" s="16" t="n">
        <f aca="false">G32+G33</f>
        <v>1.51790414735232</v>
      </c>
    </row>
    <row r="35" customFormat="false" ht="15" hidden="false" customHeight="false" outlineLevel="0" collapsed="false">
      <c r="B35" s="7" t="s">
        <v>179</v>
      </c>
      <c r="C35" s="16" t="n">
        <v>0</v>
      </c>
      <c r="D35" s="16" t="n">
        <f aca="false">-D54</f>
        <v>-0.2975</v>
      </c>
      <c r="E35" s="16" t="n">
        <f aca="false">-E54</f>
        <v>-0.26775</v>
      </c>
      <c r="F35" s="16" t="n">
        <f aca="false">-F54</f>
        <v>-0.238</v>
      </c>
      <c r="G35" s="16" t="n">
        <f aca="false">-G54</f>
        <v>-0.20825</v>
      </c>
    </row>
    <row r="36" customFormat="false" ht="15" hidden="false" customHeight="false" outlineLevel="0" collapsed="false">
      <c r="B36" s="7" t="s">
        <v>180</v>
      </c>
      <c r="C36" s="16" t="n">
        <f aca="false">C34+C35</f>
        <v>0.753</v>
      </c>
      <c r="D36" s="16" t="n">
        <f aca="false">D34+D35</f>
        <v>0.8123944</v>
      </c>
      <c r="E36" s="16" t="n">
        <f aca="false">E34+E35</f>
        <v>0.9889129872</v>
      </c>
      <c r="F36" s="16" t="n">
        <f aca="false">F34+F35</f>
        <v>1.152311426816</v>
      </c>
      <c r="G36" s="16" t="n">
        <f aca="false">G34+G35</f>
        <v>1.30965414735232</v>
      </c>
    </row>
    <row r="37" customFormat="false" ht="15" hidden="false" customHeight="false" outlineLevel="0" collapsed="false">
      <c r="B37" s="7" t="s">
        <v>181</v>
      </c>
      <c r="C37" s="16" t="n">
        <f aca="false">-MAX(0,C36)*'Cover &amp; Assumptions'!$C$67</f>
        <v>-0.18825</v>
      </c>
      <c r="D37" s="16" t="n">
        <f aca="false">-MAX(0,D36)*'Cover &amp; Assumptions'!$C$67</f>
        <v>-0.2030986</v>
      </c>
      <c r="E37" s="16" t="n">
        <f aca="false">-MAX(0,E36)*'Cover &amp; Assumptions'!$C$67</f>
        <v>-0.2472282468</v>
      </c>
      <c r="F37" s="16" t="n">
        <f aca="false">-MAX(0,F36)*'Cover &amp; Assumptions'!$C$67</f>
        <v>-0.288077856704</v>
      </c>
      <c r="G37" s="16" t="n">
        <f aca="false">-MAX(0,G36)*'Cover &amp; Assumptions'!$C$67</f>
        <v>-0.32741353683808</v>
      </c>
    </row>
    <row r="38" customFormat="false" ht="15" hidden="false" customHeight="false" outlineLevel="0" collapsed="false">
      <c r="B38" s="7" t="s">
        <v>182</v>
      </c>
      <c r="C38" s="16" t="n">
        <f aca="false">C36+C37</f>
        <v>0.56475</v>
      </c>
      <c r="D38" s="16" t="n">
        <f aca="false">D36+D37</f>
        <v>0.6092958</v>
      </c>
      <c r="E38" s="16" t="n">
        <f aca="false">E36+E37</f>
        <v>0.7416847404</v>
      </c>
      <c r="F38" s="16" t="n">
        <f aca="false">F36+F37</f>
        <v>0.864233570112</v>
      </c>
      <c r="G38" s="16" t="n">
        <f aca="false">G36+G37</f>
        <v>0.98224061051424</v>
      </c>
    </row>
    <row r="40" customFormat="false" ht="15" hidden="false" customHeight="false" outlineLevel="0" collapsed="false">
      <c r="B40" s="3" t="s">
        <v>183</v>
      </c>
      <c r="C40" s="4"/>
      <c r="D40" s="4"/>
      <c r="E40" s="4"/>
      <c r="F40" s="4"/>
      <c r="G40" s="4"/>
      <c r="H40" s="4"/>
    </row>
    <row r="41" customFormat="false" ht="15" hidden="false" customHeight="false" outlineLevel="0" collapsed="false">
      <c r="B41" s="7" t="s">
        <v>176</v>
      </c>
      <c r="C41" s="16" t="n">
        <f aca="false">C32</f>
        <v>1.126</v>
      </c>
      <c r="D41" s="16" t="n">
        <f aca="false">D32</f>
        <v>1.5127344</v>
      </c>
      <c r="E41" s="16" t="n">
        <f aca="false">E32</f>
        <v>1.6836733872</v>
      </c>
      <c r="F41" s="16" t="n">
        <f aca="false">F32</f>
        <v>1.834402242816</v>
      </c>
      <c r="G41" s="16" t="n">
        <f aca="false">G32</f>
        <v>1.97531768783232</v>
      </c>
    </row>
    <row r="42" customFormat="false" ht="15" hidden="false" customHeight="false" outlineLevel="0" collapsed="false">
      <c r="B42" s="32" t="s">
        <v>184</v>
      </c>
      <c r="C42" s="33" t="n">
        <f aca="false">-C30*'Cover &amp; Assumptions'!$C$65</f>
        <v>-0.70034</v>
      </c>
      <c r="D42" s="33" t="n">
        <f aca="false">-D30*'Cover &amp; Assumptions'!$C$65</f>
        <v>-0.7563672</v>
      </c>
      <c r="E42" s="33" t="n">
        <f aca="false">-E30*'Cover &amp; Assumptions'!$C$65</f>
        <v>-0.801749232</v>
      </c>
      <c r="F42" s="33" t="n">
        <f aca="false">-F30*'Cover &amp; Assumptions'!$C$65</f>
        <v>-0.83381920128</v>
      </c>
      <c r="G42" s="33" t="n">
        <f aca="false">-G30*'Cover &amp; Assumptions'!$C$65</f>
        <v>-0.8588337773184</v>
      </c>
      <c r="H42" s="4"/>
    </row>
    <row r="43" customFormat="false" ht="15" hidden="false" customHeight="false" outlineLevel="0" collapsed="false">
      <c r="B43" s="12" t="s">
        <v>185</v>
      </c>
      <c r="C43" s="34" t="n">
        <v>0</v>
      </c>
      <c r="D43" s="35" t="n">
        <f aca="false">-(D30-C30)*'Cover &amp; Assumptions'!$C$66</f>
        <v>-0.613497840000001</v>
      </c>
      <c r="E43" s="35" t="n">
        <f aca="false">-(E30-D30)*'Cover &amp; Assumptions'!$C$66</f>
        <v>-0.4969332504</v>
      </c>
      <c r="F43" s="35" t="n">
        <f aca="false">-(F30-E30)*'Cover &amp; Assumptions'!$C$66</f>
        <v>-0.351166163616001</v>
      </c>
      <c r="G43" s="35" t="n">
        <f aca="false">-(G30-F30)*'Cover &amp; Assumptions'!$C$66</f>
        <v>-0.273909607620481</v>
      </c>
    </row>
    <row r="44" customFormat="false" ht="15" hidden="false" customHeight="false" outlineLevel="0" collapsed="false">
      <c r="B44" s="7" t="s">
        <v>186</v>
      </c>
      <c r="C44" s="16" t="n">
        <f aca="false">C35</f>
        <v>0</v>
      </c>
      <c r="D44" s="16" t="n">
        <f aca="false">D35</f>
        <v>-0.2975</v>
      </c>
      <c r="E44" s="16" t="n">
        <f aca="false">E35</f>
        <v>-0.26775</v>
      </c>
      <c r="F44" s="16" t="n">
        <f aca="false">F35</f>
        <v>-0.238</v>
      </c>
      <c r="G44" s="16" t="n">
        <f aca="false">G35</f>
        <v>-0.20825</v>
      </c>
    </row>
    <row r="45" customFormat="false" ht="15" hidden="false" customHeight="false" outlineLevel="0" collapsed="false">
      <c r="B45" s="7" t="s">
        <v>187</v>
      </c>
      <c r="C45" s="16" t="n">
        <f aca="false">C37</f>
        <v>-0.18825</v>
      </c>
      <c r="D45" s="16" t="n">
        <f aca="false">D37</f>
        <v>-0.2030986</v>
      </c>
      <c r="E45" s="16" t="n">
        <f aca="false">E37</f>
        <v>-0.2472282468</v>
      </c>
      <c r="F45" s="16" t="n">
        <f aca="false">F37</f>
        <v>-0.288077856704</v>
      </c>
      <c r="G45" s="16" t="n">
        <f aca="false">G37</f>
        <v>-0.32741353683808</v>
      </c>
    </row>
    <row r="46" customFormat="false" ht="15" hidden="false" customHeight="false" outlineLevel="0" collapsed="false">
      <c r="B46" s="22" t="s">
        <v>188</v>
      </c>
      <c r="C46" s="26" t="n">
        <f aca="false">SUM(C41:C45)</f>
        <v>0.23741</v>
      </c>
      <c r="D46" s="26" t="n">
        <f aca="false">SUM(D41:D45)</f>
        <v>-0.35772924</v>
      </c>
      <c r="E46" s="26" t="n">
        <f aca="false">SUM(E41:E45)</f>
        <v>-0.129987342</v>
      </c>
      <c r="F46" s="26" t="n">
        <f aca="false">SUM(F41:F45)</f>
        <v>0.123339021215999</v>
      </c>
      <c r="G46" s="26" t="n">
        <f aca="false">SUM(G41:G45)</f>
        <v>0.306910766055359</v>
      </c>
    </row>
    <row r="48" customFormat="false" ht="15" hidden="false" customHeight="false" outlineLevel="0" collapsed="false">
      <c r="B48" s="3" t="s">
        <v>189</v>
      </c>
      <c r="C48" s="4"/>
      <c r="D48" s="4"/>
      <c r="E48" s="4"/>
      <c r="F48" s="4"/>
      <c r="G48" s="4"/>
      <c r="H48" s="4"/>
    </row>
    <row r="49" customFormat="false" ht="23.85" hidden="false" customHeight="false" outlineLevel="0" collapsed="false">
      <c r="B49" s="12" t="s">
        <v>163</v>
      </c>
      <c r="C49" s="36" t="s">
        <v>190</v>
      </c>
      <c r="D49" s="37" t="s">
        <v>191</v>
      </c>
      <c r="E49" s="37" t="s">
        <v>192</v>
      </c>
      <c r="F49" s="37" t="s">
        <v>193</v>
      </c>
      <c r="G49" s="37" t="s">
        <v>194</v>
      </c>
    </row>
    <row r="50" customFormat="false" ht="15" hidden="false" customHeight="false" outlineLevel="0" collapsed="false">
      <c r="B50" s="7" t="s">
        <v>195</v>
      </c>
      <c r="C50" s="16" t="n">
        <f aca="false">'Cover &amp; Assumptions'!$C$54</f>
        <v>3.5</v>
      </c>
      <c r="D50" s="16" t="n">
        <f aca="false">C50</f>
        <v>3.5</v>
      </c>
      <c r="E50" s="16" t="n">
        <f aca="false">D55</f>
        <v>3.15</v>
      </c>
      <c r="F50" s="16" t="n">
        <f aca="false">E55</f>
        <v>2.8</v>
      </c>
      <c r="G50" s="16" t="n">
        <f aca="false">F55</f>
        <v>2.45</v>
      </c>
    </row>
    <row r="51" customFormat="false" ht="15" hidden="false" customHeight="false" outlineLevel="0" collapsed="false">
      <c r="B51" s="7" t="s">
        <v>196</v>
      </c>
      <c r="C51" s="17" t="n">
        <f aca="false">'Cover &amp; Assumptions'!$C$68</f>
        <v>0.085</v>
      </c>
      <c r="D51" s="17" t="n">
        <f aca="false">'Cover &amp; Assumptions'!$C$68</f>
        <v>0.085</v>
      </c>
      <c r="E51" s="17" t="n">
        <f aca="false">'Cover &amp; Assumptions'!$C$68</f>
        <v>0.085</v>
      </c>
      <c r="F51" s="17" t="n">
        <f aca="false">'Cover &amp; Assumptions'!$C$68</f>
        <v>0.085</v>
      </c>
      <c r="G51" s="17" t="n">
        <f aca="false">'Cover &amp; Assumptions'!$C$68</f>
        <v>0.085</v>
      </c>
    </row>
    <row r="52" customFormat="false" ht="15" hidden="false" customHeight="false" outlineLevel="0" collapsed="false">
      <c r="B52" s="7" t="s">
        <v>197</v>
      </c>
      <c r="C52" s="16" t="n">
        <v>0</v>
      </c>
      <c r="D52" s="16" t="n">
        <f aca="false">MIN(D50, 'Cover &amp; Assumptions'!$C$54*0.1)</f>
        <v>0.35</v>
      </c>
      <c r="E52" s="16" t="n">
        <f aca="false">MIN(E50, 'Cover &amp; Assumptions'!$C$54*0.1)</f>
        <v>0.35</v>
      </c>
      <c r="F52" s="16" t="n">
        <f aca="false">MIN(F50, 'Cover &amp; Assumptions'!$C$54*0.1)</f>
        <v>0.35</v>
      </c>
      <c r="G52" s="16" t="n">
        <f aca="false">MIN(G50, 'Cover &amp; Assumptions'!$C$54*0.1)</f>
        <v>0.35</v>
      </c>
    </row>
    <row r="53" customFormat="false" ht="15" hidden="false" customHeight="false" outlineLevel="0" collapsed="false">
      <c r="B53" s="7" t="s">
        <v>198</v>
      </c>
      <c r="C53" s="16" t="n">
        <v>0</v>
      </c>
      <c r="D53" s="16" t="n">
        <f aca="false">MIN(MAX(0,D50-D52),MAX(0,D46-D52)*'Cover &amp; Assumptions'!$C$69)</f>
        <v>0</v>
      </c>
      <c r="E53" s="16" t="n">
        <f aca="false">MIN(MAX(0,E50-E52),MAX(0,E46-E52)*'Cover &amp; Assumptions'!$C$69)</f>
        <v>0</v>
      </c>
      <c r="F53" s="16" t="n">
        <f aca="false">MIN(MAX(0,F50-F52),MAX(0,F46-F52)*'Cover &amp; Assumptions'!$C$69)</f>
        <v>0</v>
      </c>
      <c r="G53" s="16" t="n">
        <f aca="false">MIN(MAX(0,G50-G52),MAX(0,G46-G52)*'Cover &amp; Assumptions'!$C$69)</f>
        <v>0</v>
      </c>
    </row>
    <row r="54" customFormat="false" ht="15" hidden="false" customHeight="false" outlineLevel="0" collapsed="false">
      <c r="B54" s="7" t="s">
        <v>199</v>
      </c>
      <c r="C54" s="16" t="n">
        <v>0</v>
      </c>
      <c r="D54" s="16" t="n">
        <f aca="false">D50*D51</f>
        <v>0.2975</v>
      </c>
      <c r="E54" s="16" t="n">
        <f aca="false">E50*E51</f>
        <v>0.26775</v>
      </c>
      <c r="F54" s="16" t="n">
        <f aca="false">F50*F51</f>
        <v>0.238</v>
      </c>
      <c r="G54" s="16" t="n">
        <f aca="false">G50*G51</f>
        <v>0.20825</v>
      </c>
    </row>
    <row r="55" customFormat="false" ht="15" hidden="false" customHeight="false" outlineLevel="0" collapsed="false">
      <c r="B55" s="22" t="s">
        <v>200</v>
      </c>
      <c r="C55" s="26" t="n">
        <f aca="false">C50</f>
        <v>3.5</v>
      </c>
      <c r="D55" s="26" t="n">
        <f aca="false">MAX(0,D50-D52-D53)</f>
        <v>3.15</v>
      </c>
      <c r="E55" s="26" t="n">
        <f aca="false">MAX(0,E50-E52-E53)</f>
        <v>2.8</v>
      </c>
      <c r="F55" s="26" t="n">
        <f aca="false">MAX(0,F50-F52-F53)</f>
        <v>2.45</v>
      </c>
      <c r="G55" s="26" t="n">
        <f aca="false">MAX(0,G50-G52-G53)</f>
        <v>2.1</v>
      </c>
    </row>
    <row r="57" customFormat="false" ht="15" hidden="false" customHeight="false" outlineLevel="0" collapsed="false">
      <c r="B57" s="11" t="s">
        <v>201</v>
      </c>
    </row>
    <row r="59" customFormat="false" ht="15" hidden="false" customHeight="false" outlineLevel="0" collapsed="false">
      <c r="B59" s="3" t="s">
        <v>202</v>
      </c>
      <c r="C59" s="4"/>
      <c r="D59" s="4"/>
      <c r="E59" s="4"/>
      <c r="F59" s="4"/>
      <c r="G59" s="4"/>
      <c r="H59" s="4"/>
    </row>
    <row r="60" customFormat="false" ht="15" hidden="false" customHeight="false" outlineLevel="0" collapsed="false">
      <c r="B60" s="22" t="s">
        <v>203</v>
      </c>
    </row>
    <row r="61" customFormat="false" ht="15" hidden="false" customHeight="false" outlineLevel="0" collapsed="false">
      <c r="B61" s="7" t="s">
        <v>204</v>
      </c>
      <c r="C61" s="16" t="n">
        <f aca="false">G32</f>
        <v>1.97531768783232</v>
      </c>
    </row>
    <row r="62" customFormat="false" ht="15" hidden="false" customHeight="false" outlineLevel="0" collapsed="false">
      <c r="B62" s="7" t="s">
        <v>205</v>
      </c>
      <c r="C62" s="19" t="n">
        <f aca="false">'Cover &amp; Assumptions'!$C$74</f>
        <v>6</v>
      </c>
    </row>
    <row r="63" customFormat="false" ht="15" hidden="false" customHeight="false" outlineLevel="0" collapsed="false">
      <c r="B63" s="7" t="s">
        <v>206</v>
      </c>
      <c r="C63" s="26" t="n">
        <f aca="false">C61*C62</f>
        <v>11.8519061269939</v>
      </c>
    </row>
    <row r="64" customFormat="false" ht="15" hidden="false" customHeight="false" outlineLevel="0" collapsed="false">
      <c r="B64" s="7" t="s">
        <v>207</v>
      </c>
      <c r="C64" s="16" t="n">
        <f aca="false">-(G55-'Cover &amp; Assumptions'!$C$70)</f>
        <v>-1.6</v>
      </c>
    </row>
    <row r="65" customFormat="false" ht="15" hidden="false" customHeight="false" outlineLevel="0" collapsed="false">
      <c r="B65" s="22" t="s">
        <v>208</v>
      </c>
      <c r="C65" s="26" t="n">
        <f aca="false">C63+C64</f>
        <v>10.2519061269939</v>
      </c>
    </row>
    <row r="67" customFormat="false" ht="15" hidden="false" customHeight="false" outlineLevel="0" collapsed="false">
      <c r="B67" s="22" t="s">
        <v>209</v>
      </c>
    </row>
    <row r="68" customFormat="false" ht="15" hidden="false" customHeight="false" outlineLevel="0" collapsed="false">
      <c r="B68" s="7" t="s">
        <v>210</v>
      </c>
      <c r="C68" s="16" t="n">
        <f aca="false">H22</f>
        <v>3.4945</v>
      </c>
    </row>
    <row r="69" customFormat="false" ht="15" hidden="false" customHeight="false" outlineLevel="0" collapsed="false">
      <c r="B69" s="7" t="s">
        <v>211</v>
      </c>
      <c r="C69" s="16" t="n">
        <f aca="false">C65*(C68/(C68+H21))</f>
        <v>9.69692406571397</v>
      </c>
    </row>
    <row r="70" customFormat="false" ht="15" hidden="false" customHeight="false" outlineLevel="0" collapsed="false">
      <c r="B70" s="22" t="s">
        <v>212</v>
      </c>
      <c r="C70" s="38" t="n">
        <f aca="false">C69/C68</f>
        <v>2.77491030639976</v>
      </c>
    </row>
    <row r="71" customFormat="false" ht="15" hidden="false" customHeight="false" outlineLevel="0" collapsed="false">
      <c r="B71" s="7" t="s">
        <v>103</v>
      </c>
      <c r="C71" s="39" t="n">
        <f aca="false">'Cover &amp; Assumptions'!$C$73</f>
        <v>4</v>
      </c>
    </row>
    <row r="72" customFormat="false" ht="15" hidden="false" customHeight="false" outlineLevel="0" collapsed="false">
      <c r="B72" s="22" t="s">
        <v>213</v>
      </c>
      <c r="C72" s="40" t="n">
        <f aca="false">(C70)^(1/C71)-1</f>
        <v>0.290661149618294</v>
      </c>
    </row>
    <row r="74" customFormat="false" ht="15" hidden="false" customHeight="false" outlineLevel="0" collapsed="false">
      <c r="B74" s="22" t="s">
        <v>214</v>
      </c>
    </row>
    <row r="75" customFormat="false" ht="15" hidden="false" customHeight="false" outlineLevel="0" collapsed="false">
      <c r="B75" s="7" t="s">
        <v>215</v>
      </c>
      <c r="C75" s="22" t="n">
        <v>0</v>
      </c>
      <c r="D75" s="22" t="n">
        <v>1</v>
      </c>
      <c r="E75" s="22" t="n">
        <v>2</v>
      </c>
      <c r="F75" s="22" t="n">
        <v>3</v>
      </c>
      <c r="G75" s="22" t="n">
        <v>4</v>
      </c>
    </row>
    <row r="76" customFormat="false" ht="15" hidden="false" customHeight="false" outlineLevel="0" collapsed="false">
      <c r="B76" s="7" t="s">
        <v>216</v>
      </c>
      <c r="C76" s="16" t="n">
        <f aca="false">-C68</f>
        <v>-3.4945</v>
      </c>
      <c r="D76" s="16" t="n">
        <v>0</v>
      </c>
      <c r="E76" s="16" t="n">
        <v>0</v>
      </c>
      <c r="F76" s="16" t="n">
        <v>0</v>
      </c>
      <c r="G76" s="16" t="n">
        <f aca="false">C69</f>
        <v>9.69692406571397</v>
      </c>
    </row>
    <row r="77" customFormat="false" ht="15" hidden="false" customHeight="false" outlineLevel="0" collapsed="false">
      <c r="B77" s="7" t="s">
        <v>217</v>
      </c>
      <c r="C77" s="17" t="n">
        <f aca="false">IRR(C76:G76)</f>
        <v>0.290661149618293</v>
      </c>
      <c r="D77" s="11" t="s">
        <v>218</v>
      </c>
    </row>
    <row r="79" customFormat="false" ht="15" hidden="false" customHeight="false" outlineLevel="0" collapsed="false">
      <c r="B79" s="3" t="s">
        <v>219</v>
      </c>
      <c r="C79" s="4"/>
      <c r="D79" s="4"/>
      <c r="E79" s="4"/>
      <c r="F79" s="4"/>
      <c r="G79" s="4"/>
      <c r="H79" s="4"/>
    </row>
    <row r="80" customFormat="false" ht="15" hidden="false" customHeight="false" outlineLevel="0" collapsed="false">
      <c r="B80" s="11" t="s">
        <v>220</v>
      </c>
    </row>
    <row r="82" customFormat="false" ht="15" hidden="false" customHeight="false" outlineLevel="0" collapsed="false">
      <c r="B82" s="7" t="s">
        <v>221</v>
      </c>
      <c r="C82" s="16" t="n">
        <f aca="false">H22</f>
        <v>3.4945</v>
      </c>
    </row>
    <row r="83" customFormat="false" ht="15" hidden="false" customHeight="false" outlineLevel="0" collapsed="false">
      <c r="B83" s="7" t="s">
        <v>222</v>
      </c>
      <c r="C83" s="16" t="n">
        <f aca="false">G55</f>
        <v>2.1</v>
      </c>
    </row>
    <row r="85" customFormat="false" ht="15" hidden="false" customHeight="false" outlineLevel="0" collapsed="false">
      <c r="B85" s="22" t="s">
        <v>223</v>
      </c>
    </row>
    <row r="86" customFormat="false" ht="15" hidden="false" customHeight="false" outlineLevel="0" collapsed="false">
      <c r="B86" s="7" t="s">
        <v>224</v>
      </c>
      <c r="C86" s="41" t="n">
        <v>5</v>
      </c>
      <c r="D86" s="41" t="n">
        <v>6</v>
      </c>
      <c r="E86" s="41" t="n">
        <v>7</v>
      </c>
      <c r="F86" s="41" t="n">
        <v>8</v>
      </c>
      <c r="G86" s="41" t="n">
        <v>9</v>
      </c>
    </row>
    <row r="87" customFormat="false" ht="15" hidden="false" customHeight="false" outlineLevel="0" collapsed="false">
      <c r="B87" s="27" t="n">
        <v>1.1</v>
      </c>
      <c r="C87" s="19" t="n">
        <f aca="false">MAX(0,(($B87*C$86-$C$83)*$C$82/(($C$82+'Cover &amp; Assumptions'!$C$56))))/($C$82)</f>
        <v>0.920286912978752</v>
      </c>
      <c r="D87" s="19" t="n">
        <f aca="false">MAX(0,(($B87*D$86-$C$83)*$C$82/(($C$82+'Cover &amp; Assumptions'!$C$56))))/($C$82)</f>
        <v>1.21802679658953</v>
      </c>
      <c r="E87" s="19" t="n">
        <f aca="false">MAX(0,(($B87*E$86-$C$83)*$C$82/(($C$82+'Cover &amp; Assumptions'!$C$56))))/($C$82)</f>
        <v>1.5157666802003</v>
      </c>
      <c r="F87" s="19" t="n">
        <f aca="false">MAX(0,(($B87*F$86-$C$83)*$C$82/(($C$82+'Cover &amp; Assumptions'!$C$56))))/($C$82)</f>
        <v>1.81350656381107</v>
      </c>
      <c r="G87" s="19" t="n">
        <f aca="false">MAX(0,(($B87*G$86-$C$83)*$C$82/(($C$82+'Cover &amp; Assumptions'!$C$56))))/($C$82)</f>
        <v>2.11124644742184</v>
      </c>
    </row>
    <row r="88" customFormat="false" ht="15" hidden="false" customHeight="false" outlineLevel="0" collapsed="false">
      <c r="B88" s="27" t="n">
        <v>1.5</v>
      </c>
      <c r="C88" s="19" t="n">
        <f aca="false">MAX(0,(($B88*C$86-$C$83)*$C$82/(($C$82+'Cover &amp; Assumptions'!$C$56))))/($C$82)</f>
        <v>1.46163215590743</v>
      </c>
      <c r="D88" s="19" t="n">
        <f aca="false">MAX(0,(($B88*D$86-$C$83)*$C$82/(($C$82+'Cover &amp; Assumptions'!$C$56))))/($C$82)</f>
        <v>1.86764108810394</v>
      </c>
      <c r="E88" s="19" t="n">
        <f aca="false">MAX(0,(($B88*E$86-$C$83)*$C$82/(($C$82+'Cover &amp; Assumptions'!$C$56))))/($C$82)</f>
        <v>2.27365002030045</v>
      </c>
      <c r="F88" s="19" t="n">
        <f aca="false">MAX(0,(($B88*F$86-$C$83)*$C$82/(($C$82+'Cover &amp; Assumptions'!$C$56))))/($C$82)</f>
        <v>2.67965895249696</v>
      </c>
      <c r="G88" s="19" t="n">
        <f aca="false">MAX(0,(($B88*G$86-$C$83)*$C$82/(($C$82+'Cover &amp; Assumptions'!$C$56))))/($C$82)</f>
        <v>3.08566788469346</v>
      </c>
    </row>
    <row r="89" customFormat="false" ht="15" hidden="false" customHeight="false" outlineLevel="0" collapsed="false">
      <c r="B89" s="27" t="n">
        <v>1.8</v>
      </c>
      <c r="C89" s="19" t="n">
        <f aca="false">MAX(0,(($B89*C$86-$C$83)*$C$82/(($C$82+'Cover &amp; Assumptions'!$C$56))))/($C$82)</f>
        <v>1.86764108810394</v>
      </c>
      <c r="D89" s="19" t="n">
        <f aca="false">MAX(0,(($B89*D$86-$C$83)*$C$82/(($C$82+'Cover &amp; Assumptions'!$C$56))))/($C$82)</f>
        <v>2.35485180673975</v>
      </c>
      <c r="E89" s="19" t="n">
        <f aca="false">MAX(0,(($B89*E$86-$C$83)*$C$82/(($C$82+'Cover &amp; Assumptions'!$C$56))))/($C$82)</f>
        <v>2.84206252537556</v>
      </c>
      <c r="F89" s="19" t="n">
        <f aca="false">MAX(0,(($B89*F$86-$C$83)*$C$82/(($C$82+'Cover &amp; Assumptions'!$C$56))))/($C$82)</f>
        <v>3.32927324401137</v>
      </c>
      <c r="G89" s="19" t="n">
        <f aca="false">MAX(0,(($B89*G$86-$C$83)*$C$82/(($C$82+'Cover &amp; Assumptions'!$C$56))))/($C$82)</f>
        <v>3.81648396264718</v>
      </c>
    </row>
    <row r="90" customFormat="false" ht="15" hidden="false" customHeight="false" outlineLevel="0" collapsed="false">
      <c r="B90" s="27" t="n">
        <v>2</v>
      </c>
      <c r="C90" s="19" t="n">
        <f aca="false">MAX(0,(($B90*C$86-$C$83)*$C$82/(($C$82+'Cover &amp; Assumptions'!$C$56))))/($C$82)</f>
        <v>2.13831370956828</v>
      </c>
      <c r="D90" s="19" t="n">
        <f aca="false">MAX(0,(($B90*D$86-$C$83)*$C$82/(($C$82+'Cover &amp; Assumptions'!$C$56))))/($C$82)</f>
        <v>2.67965895249696</v>
      </c>
      <c r="E90" s="19" t="n">
        <f aca="false">MAX(0,(($B90*E$86-$C$83)*$C$82/(($C$82+'Cover &amp; Assumptions'!$C$56))))/($C$82)</f>
        <v>3.22100419542563</v>
      </c>
      <c r="F90" s="19" t="n">
        <f aca="false">MAX(0,(($B90*F$86-$C$83)*$C$82/(($C$82+'Cover &amp; Assumptions'!$C$56))))/($C$82)</f>
        <v>3.76234943835431</v>
      </c>
      <c r="G90" s="19" t="n">
        <f aca="false">MAX(0,(($B90*G$86-$C$83)*$C$82/(($C$82+'Cover &amp; Assumptions'!$C$56))))/($C$82)</f>
        <v>4.30369468128299</v>
      </c>
    </row>
    <row r="91" customFormat="false" ht="15" hidden="false" customHeight="false" outlineLevel="0" collapsed="false">
      <c r="B91" s="27" t="n">
        <v>2.5</v>
      </c>
      <c r="C91" s="19" t="n">
        <f aca="false">MAX(0,(($B91*C$86-$C$83)*$C$82/(($C$82+'Cover &amp; Assumptions'!$C$56))))/($C$82)</f>
        <v>2.81499526322913</v>
      </c>
      <c r="D91" s="19" t="n">
        <f aca="false">MAX(0,(($B91*D$86-$C$83)*$C$82/(($C$82+'Cover &amp; Assumptions'!$C$56))))/($C$82)</f>
        <v>3.49167681688997</v>
      </c>
      <c r="E91" s="19" t="n">
        <f aca="false">MAX(0,(($B91*E$86-$C$83)*$C$82/(($C$82+'Cover &amp; Assumptions'!$C$56))))/($C$82)</f>
        <v>4.16835837055082</v>
      </c>
      <c r="F91" s="19" t="n">
        <f aca="false">MAX(0,(($B91*F$86-$C$83)*$C$82/(($C$82+'Cover &amp; Assumptions'!$C$56))))/($C$82)</f>
        <v>4.84503992421167</v>
      </c>
      <c r="G91" s="19" t="n">
        <f aca="false">MAX(0,(($B91*G$86-$C$83)*$C$82/(($C$82+'Cover &amp; Assumptions'!$C$56))))/($C$82)</f>
        <v>5.52172147787251</v>
      </c>
    </row>
    <row r="92" customFormat="false" ht="15" hidden="false" customHeight="false" outlineLevel="0" collapsed="false">
      <c r="B92" s="27" t="n">
        <v>3</v>
      </c>
      <c r="C92" s="19" t="n">
        <f aca="false">MAX(0,(($B92*C$86-$C$83)*$C$82/(($C$82+'Cover &amp; Assumptions'!$C$56))))/($C$82)</f>
        <v>3.49167681688997</v>
      </c>
      <c r="D92" s="19" t="n">
        <f aca="false">MAX(0,(($B92*D$86-$C$83)*$C$82/(($C$82+'Cover &amp; Assumptions'!$C$56))))/($C$82)</f>
        <v>4.30369468128299</v>
      </c>
      <c r="E92" s="19" t="n">
        <f aca="false">MAX(0,(($B92*E$86-$C$83)*$C$82/(($C$82+'Cover &amp; Assumptions'!$C$56))))/($C$82)</f>
        <v>5.115712545676</v>
      </c>
      <c r="F92" s="19" t="n">
        <f aca="false">MAX(0,(($B92*F$86-$C$83)*$C$82/(($C$82+'Cover &amp; Assumptions'!$C$56))))/($C$82)</f>
        <v>5.92773041006902</v>
      </c>
      <c r="G92" s="19" t="n">
        <f aca="false">MAX(0,(($B92*G$86-$C$83)*$C$82/(($C$82+'Cover &amp; Assumptions'!$C$56))))/($C$82)</f>
        <v>6.73974827446204</v>
      </c>
    </row>
    <row r="95" customFormat="false" ht="15" hidden="false" customHeight="false" outlineLevel="0" collapsed="false">
      <c r="B95" s="22" t="s">
        <v>225</v>
      </c>
    </row>
    <row r="96" customFormat="false" ht="15" hidden="false" customHeight="false" outlineLevel="0" collapsed="false">
      <c r="B96" s="7" t="s">
        <v>224</v>
      </c>
      <c r="C96" s="41" t="n">
        <v>5</v>
      </c>
      <c r="D96" s="41" t="n">
        <v>6</v>
      </c>
      <c r="E96" s="41" t="n">
        <v>7</v>
      </c>
      <c r="F96" s="41" t="n">
        <v>8</v>
      </c>
      <c r="G96" s="41" t="n">
        <v>9</v>
      </c>
    </row>
    <row r="97" customFormat="false" ht="15" hidden="false" customHeight="false" outlineLevel="0" collapsed="false">
      <c r="B97" s="27" t="n">
        <v>1.1</v>
      </c>
      <c r="C97" s="17" t="n">
        <f aca="false">IFERROR((C87)^(1/'Cover &amp; Assumptions'!$C$73)-1,0)</f>
        <v>-0.0205532905090353</v>
      </c>
      <c r="D97" s="17" t="n">
        <f aca="false">IFERROR((D87)^(1/'Cover &amp; Assumptions'!$C$73)-1,0)</f>
        <v>0.0505439129518226</v>
      </c>
      <c r="E97" s="17" t="n">
        <f aca="false">IFERROR((E87)^(1/'Cover &amp; Assumptions'!$C$73)-1,0)</f>
        <v>0.109578643296205</v>
      </c>
      <c r="F97" s="17" t="n">
        <f aca="false">IFERROR((F87)^(1/'Cover &amp; Assumptions'!$C$73)-1,0)</f>
        <v>0.160458951584085</v>
      </c>
      <c r="G97" s="17" t="n">
        <f aca="false">IFERROR((G87)^(1/'Cover &amp; Assumptions'!$C$73)-1,0)</f>
        <v>0.205409841583248</v>
      </c>
    </row>
    <row r="98" customFormat="false" ht="15" hidden="false" customHeight="false" outlineLevel="0" collapsed="false">
      <c r="B98" s="27" t="n">
        <v>1.5</v>
      </c>
      <c r="C98" s="17" t="n">
        <f aca="false">IFERROR((C88)^(1/'Cover &amp; Assumptions'!$C$73)-1,0)</f>
        <v>0.0995361747698587</v>
      </c>
      <c r="D98" s="17" t="n">
        <f aca="false">IFERROR((D88)^(1/'Cover &amp; Assumptions'!$C$73)-1,0)</f>
        <v>0.169023805289881</v>
      </c>
      <c r="E98" s="17" t="n">
        <f aca="false">IFERROR((E88)^(1/'Cover &amp; Assumptions'!$C$73)-1,0)</f>
        <v>0.227950623021523</v>
      </c>
      <c r="F98" s="17" t="n">
        <f aca="false">IFERROR((F88)^(1/'Cover &amp; Assumptions'!$C$73)-1,0)</f>
        <v>0.279439872405315</v>
      </c>
      <c r="G98" s="17" t="n">
        <f aca="false">IFERROR((G88)^(1/'Cover &amp; Assumptions'!$C$73)-1,0)</f>
        <v>0.32537048548176</v>
      </c>
    </row>
    <row r="99" customFormat="false" ht="15" hidden="false" customHeight="false" outlineLevel="0" collapsed="false">
      <c r="B99" s="27" t="n">
        <v>1.8</v>
      </c>
      <c r="C99" s="17" t="n">
        <f aca="false">IFERROR((C89)^(1/'Cover &amp; Assumptions'!$C$73)-1,0)</f>
        <v>0.169023805289881</v>
      </c>
      <c r="D99" s="17" t="n">
        <f aca="false">IFERROR((D89)^(1/'Cover &amp; Assumptions'!$C$73)-1,0)</f>
        <v>0.23877061661526</v>
      </c>
      <c r="E99" s="17" t="n">
        <f aca="false">IFERROR((E89)^(1/'Cover &amp; Assumptions'!$C$73)-1,0)</f>
        <v>0.298399701706896</v>
      </c>
      <c r="F99" s="17" t="n">
        <f aca="false">IFERROR((F89)^(1/'Cover &amp; Assumptions'!$C$73)-1,0)</f>
        <v>0.350788517240672</v>
      </c>
      <c r="G99" s="17" t="n">
        <f aca="false">IFERROR((G89)^(1/'Cover &amp; Assumptions'!$C$73)-1,0)</f>
        <v>0.397706099611982</v>
      </c>
    </row>
    <row r="100" customFormat="false" ht="15" hidden="false" customHeight="false" outlineLevel="0" collapsed="false">
      <c r="B100" s="27" t="n">
        <v>2</v>
      </c>
      <c r="C100" s="17" t="n">
        <f aca="false">IFERROR((C90)^(1/'Cover &amp; Assumptions'!$C$73)-1,0)</f>
        <v>0.2092548978783</v>
      </c>
      <c r="D100" s="17" t="n">
        <f aca="false">IFERROR((D90)^(1/'Cover &amp; Assumptions'!$C$73)-1,0)</f>
        <v>0.279439872405315</v>
      </c>
      <c r="E100" s="17" t="n">
        <f aca="false">IFERROR((E90)^(1/'Cover &amp; Assumptions'!$C$73)-1,0)</f>
        <v>0.339669970849761</v>
      </c>
      <c r="F100" s="17" t="n">
        <f aca="false">IFERROR((F90)^(1/'Cover &amp; Assumptions'!$C$73)-1,0)</f>
        <v>0.392723110858344</v>
      </c>
      <c r="G100" s="17" t="n">
        <f aca="false">IFERROR((G90)^(1/'Cover &amp; Assumptions'!$C$73)-1,0)</f>
        <v>0.440324550514551</v>
      </c>
    </row>
    <row r="101" customFormat="false" ht="15" hidden="false" customHeight="false" outlineLevel="0" collapsed="false">
      <c r="B101" s="27" t="n">
        <v>2.5</v>
      </c>
      <c r="C101" s="17" t="n">
        <f aca="false">IFERROR((C91)^(1/'Cover &amp; Assumptions'!$C$73)-1,0)</f>
        <v>0.295297171289537</v>
      </c>
      <c r="D101" s="17" t="n">
        <f aca="false">IFERROR((D91)^(1/'Cover &amp; Assumptions'!$C$73)-1,0)</f>
        <v>0.366968509178039</v>
      </c>
      <c r="E101" s="17" t="n">
        <f aca="false">IFERROR((E91)^(1/'Cover &amp; Assumptions'!$C$73)-1,0)</f>
        <v>0.428865211067317</v>
      </c>
      <c r="F101" s="17" t="n">
        <f aca="false">IFERROR((F91)^(1/'Cover &amp; Assumptions'!$C$73)-1,0)</f>
        <v>0.483625673574069</v>
      </c>
      <c r="G101" s="17" t="n">
        <f aca="false">IFERROR((G91)^(1/'Cover &amp; Assumptions'!$C$73)-1,0)</f>
        <v>0.53291694202783</v>
      </c>
    </row>
    <row r="102" customFormat="false" ht="15" hidden="false" customHeight="false" outlineLevel="0" collapsed="false">
      <c r="B102" s="27" t="n">
        <v>3</v>
      </c>
      <c r="C102" s="17" t="n">
        <f aca="false">IFERROR((C92)^(1/'Cover &amp; Assumptions'!$C$73)-1,0)</f>
        <v>0.366968509178039</v>
      </c>
      <c r="D102" s="17" t="n">
        <f aca="false">IFERROR((D92)^(1/'Cover &amp; Assumptions'!$C$73)-1,0)</f>
        <v>0.440324550514551</v>
      </c>
      <c r="E102" s="17" t="n">
        <f aca="false">IFERROR((E92)^(1/'Cover &amp; Assumptions'!$C$73)-1,0)</f>
        <v>0.503926227867717</v>
      </c>
      <c r="F102" s="17" t="n">
        <f aca="false">IFERROR((F92)^(1/'Cover &amp; Assumptions'!$C$73)-1,0)</f>
        <v>0.560350307892784</v>
      </c>
      <c r="G102" s="17" t="n">
        <f aca="false">IFERROR((G92)^(1/'Cover &amp; Assumptions'!$C$73)-1,0)</f>
        <v>0.61124253797173</v>
      </c>
    </row>
    <row r="104" customFormat="false" ht="15" hidden="false" customHeight="false" outlineLevel="0" collapsed="false">
      <c r="B104" s="11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2026-05-26T09:58:08Z</dcterms:created>
  <dc:creator>openpyxl</dc:creator>
  <dc:description/>
  <dc:language>en-US</dc:language>
  <cp:lastModifiedBy/>
  <dcterms:modified xsi:type="dcterms:W3CDTF">2026-05-26T09:58:08Z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