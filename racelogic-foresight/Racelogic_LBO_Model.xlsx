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dityakumbhar/Documents/Claude/Projects/Private Equity/"/>
    </mc:Choice>
  </mc:AlternateContent>
  <xr:revisionPtr revIDLastSave="0" documentId="8_{0D5AD528-26DE-2846-83F3-65AD4854431B}" xr6:coauthVersionLast="47" xr6:coauthVersionMax="47" xr10:uidLastSave="{00000000-0000-0000-0000-000000000000}"/>
  <bookViews>
    <workbookView xWindow="-4920" yWindow="-21600" windowWidth="38400" windowHeight="21600" activeTab="1" xr2:uid="{00000000-000D-0000-FFFF-FFFF00000000}"/>
  </bookViews>
  <sheets>
    <sheet name="Cover &amp; Assumptions" sheetId="1" r:id="rId1"/>
    <sheet name="Model" sheetId="2" r:id="rId2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2" l="1"/>
  <c r="C54" i="2"/>
  <c r="H44" i="2"/>
  <c r="G44" i="2"/>
  <c r="F44" i="2"/>
  <c r="E44" i="2"/>
  <c r="D44" i="2"/>
  <c r="C44" i="2"/>
  <c r="C37" i="2"/>
  <c r="C23" i="2"/>
  <c r="G14" i="2"/>
  <c r="C14" i="2"/>
  <c r="C8" i="2"/>
  <c r="C7" i="2"/>
  <c r="C5" i="2"/>
  <c r="C4" i="2"/>
  <c r="C64" i="1"/>
  <c r="C54" i="1"/>
  <c r="C50" i="1"/>
  <c r="C36" i="1"/>
  <c r="C31" i="1"/>
  <c r="C51" i="1" l="1"/>
  <c r="C62" i="1"/>
  <c r="C46" i="2"/>
  <c r="G13" i="2"/>
  <c r="C43" i="2"/>
  <c r="D43" i="2" s="1"/>
  <c r="C35" i="2"/>
  <c r="C26" i="2"/>
  <c r="C6" i="2"/>
  <c r="C9" i="2" s="1"/>
  <c r="C13" i="2" s="1"/>
  <c r="C16" i="2" s="1"/>
  <c r="G15" i="2" s="1"/>
  <c r="D23" i="2"/>
  <c r="E24" i="2" l="1"/>
  <c r="C56" i="1"/>
  <c r="C57" i="1" s="1"/>
  <c r="D24" i="2"/>
  <c r="C24" i="2"/>
  <c r="C25" i="2" s="1"/>
  <c r="G24" i="2"/>
  <c r="H24" i="2"/>
  <c r="F24" i="2"/>
  <c r="D45" i="2"/>
  <c r="D28" i="2" s="1"/>
  <c r="D37" i="2" s="1"/>
  <c r="G17" i="2"/>
  <c r="C60" i="2"/>
  <c r="D26" i="2"/>
  <c r="E23" i="2"/>
  <c r="D35" i="2"/>
  <c r="D36" i="2"/>
  <c r="G16" i="2"/>
  <c r="G18" i="2" s="1"/>
  <c r="C27" i="2" l="1"/>
  <c r="C29" i="2" s="1"/>
  <c r="C34" i="2"/>
  <c r="D25" i="2"/>
  <c r="C30" i="2"/>
  <c r="C38" i="2" s="1"/>
  <c r="C39" i="2" s="1"/>
  <c r="C71" i="2"/>
  <c r="C61" i="2"/>
  <c r="C68" i="2"/>
  <c r="F23" i="2"/>
  <c r="E35" i="2"/>
  <c r="E36" i="2"/>
  <c r="E25" i="2"/>
  <c r="E26" i="2"/>
  <c r="D27" i="2" l="1"/>
  <c r="D29" i="2" s="1"/>
  <c r="D34" i="2"/>
  <c r="D30" i="2"/>
  <c r="D38" i="2" s="1"/>
  <c r="D39" i="2" s="1"/>
  <c r="D47" i="2" s="1"/>
  <c r="D46" i="2" s="1"/>
  <c r="E43" i="2" s="1"/>
  <c r="G23" i="2"/>
  <c r="F35" i="2"/>
  <c r="F36" i="2"/>
  <c r="F25" i="2"/>
  <c r="F26" i="2"/>
  <c r="E27" i="2"/>
  <c r="E34" i="2"/>
  <c r="C31" i="2"/>
  <c r="D31" i="2" l="1"/>
  <c r="H23" i="2"/>
  <c r="G35" i="2"/>
  <c r="G36" i="2"/>
  <c r="G25" i="2"/>
  <c r="G26" i="2"/>
  <c r="F27" i="2"/>
  <c r="F34" i="2"/>
  <c r="E45" i="2"/>
  <c r="E28" i="2" s="1"/>
  <c r="H35" i="2" l="1"/>
  <c r="H36" i="2"/>
  <c r="H25" i="2"/>
  <c r="H26" i="2"/>
  <c r="G27" i="2"/>
  <c r="G34" i="2"/>
  <c r="E29" i="2"/>
  <c r="E37" i="2"/>
  <c r="H27" i="2" l="1"/>
  <c r="H34" i="2"/>
  <c r="C69" i="2"/>
  <c r="C53" i="2"/>
  <c r="C55" i="2" s="1"/>
  <c r="E30" i="2"/>
  <c r="E38" i="2" s="1"/>
  <c r="E39" i="2" s="1"/>
  <c r="E47" i="2" s="1"/>
  <c r="E46" i="2" s="1"/>
  <c r="F43" i="2" s="1"/>
  <c r="E31" i="2" l="1"/>
  <c r="F45" i="2"/>
  <c r="F28" i="2" s="1"/>
  <c r="F37" i="2" l="1"/>
  <c r="F29" i="2"/>
  <c r="F30" i="2" l="1"/>
  <c r="F38" i="2" s="1"/>
  <c r="F39" i="2" s="1"/>
  <c r="F47" i="2" s="1"/>
  <c r="F46" i="2" s="1"/>
  <c r="G43" i="2" s="1"/>
  <c r="G45" i="2" l="1"/>
  <c r="G28" i="2" s="1"/>
  <c r="F31" i="2"/>
  <c r="G29" i="2" l="1"/>
  <c r="G37" i="2"/>
  <c r="G30" i="2" l="1"/>
  <c r="G38" i="2" s="1"/>
  <c r="G39" i="2" s="1"/>
  <c r="G47" i="2" s="1"/>
  <c r="G46" i="2" s="1"/>
  <c r="H43" i="2" s="1"/>
  <c r="H45" i="2" l="1"/>
  <c r="H28" i="2" s="1"/>
  <c r="G31" i="2"/>
  <c r="H37" i="2" l="1"/>
  <c r="H29" i="2"/>
  <c r="H30" i="2" l="1"/>
  <c r="H38" i="2" s="1"/>
  <c r="H39" i="2" s="1"/>
  <c r="H47" i="2" s="1"/>
  <c r="H46" i="2" s="1"/>
  <c r="C49" i="2" s="1"/>
  <c r="C56" i="2" l="1"/>
  <c r="C57" i="2" s="1"/>
  <c r="C62" i="2" s="1"/>
  <c r="C70" i="2"/>
  <c r="H31" i="2"/>
  <c r="C63" i="2" l="1"/>
  <c r="C65" i="2" s="1"/>
  <c r="E79" i="2"/>
  <c r="G78" i="2"/>
  <c r="D75" i="2"/>
  <c r="C75" i="2"/>
  <c r="G79" i="2"/>
  <c r="F79" i="2"/>
  <c r="D79" i="2"/>
  <c r="F78" i="2"/>
  <c r="D78" i="2"/>
  <c r="G77" i="2"/>
  <c r="E77" i="2"/>
  <c r="C77" i="2"/>
  <c r="F76" i="2"/>
  <c r="E76" i="2"/>
  <c r="C79" i="2"/>
  <c r="E78" i="2"/>
  <c r="C78" i="2"/>
  <c r="F77" i="2"/>
  <c r="D77" i="2"/>
  <c r="G76" i="2"/>
  <c r="D76" i="2"/>
  <c r="C76" i="2"/>
  <c r="G75" i="2"/>
  <c r="F75" i="2"/>
  <c r="E75" i="2"/>
  <c r="C83" i="2"/>
  <c r="D83" i="2"/>
  <c r="E83" i="2"/>
  <c r="G86" i="2"/>
  <c r="C87" i="2"/>
  <c r="D87" i="2"/>
  <c r="E87" i="2"/>
  <c r="F87" i="2"/>
  <c r="G87" i="2"/>
  <c r="F83" i="2"/>
  <c r="G83" i="2"/>
  <c r="C84" i="2"/>
  <c r="D84" i="2"/>
  <c r="E84" i="2"/>
  <c r="F84" i="2"/>
  <c r="G84" i="2"/>
  <c r="C85" i="2"/>
  <c r="D85" i="2"/>
  <c r="E85" i="2"/>
  <c r="F85" i="2"/>
  <c r="G85" i="2"/>
  <c r="C86" i="2"/>
  <c r="D86" i="2"/>
  <c r="E86" i="2"/>
  <c r="F86" i="2"/>
</calcChain>
</file>

<file path=xl/sharedStrings.xml><?xml version="1.0" encoding="utf-8"?>
<sst xmlns="http://schemas.openxmlformats.org/spreadsheetml/2006/main" count="239" uniqueCount="184">
  <si>
    <t>Foresight Growth &amp; Buyout pitch (UK &amp; Ireland, £2-40m, sector-agnostic, equity release named) · Anchored on CH FY24 + BBG + Alpha Spread (May 2026)</t>
  </si>
  <si>
    <t>Prepared by A. Kumbhar · For discussion only · NOT a deal indication</t>
  </si>
  <si>
    <t>•  FUND VEHICLE: Foresight Growth &amp; Buyout (UK &amp; Ireland mandate, £2m-£40m cheque, sector-agnostic, all transaction types incl. equity release). Refeyn (scientific instrumentation) is direct portfolio precedent.</t>
  </si>
  <si>
    <t>•  ENTRY MULTIPLE BASIS: 8.0x ADJUSTED EBITDA. PE-comp standard. BBG reported 27.8x is on depressed GAAP basis (penalises serial-acquirer ABDP); adjusted basis at May-26 is ~8x.</t>
  </si>
  <si>
    <t>•  CATALYST FRAMING: SUGGESTIVE not active. Cap-table grooming observable, but NO banker mandate and VBOX PRO launched Feb-26 contradicts harvest reading. Cold thematic pitch.</t>
  </si>
  <si>
    <t>SOURCING LEGEND</t>
  </si>
  <si>
    <t>VERIFIED</t>
  </si>
  <si>
    <t>CH FY24 (CRN 02743719), Bloomberg L.P. 23-May-2026, or Alpha Spread May-2026</t>
  </si>
  <si>
    <t>CALCULABLE</t>
  </si>
  <si>
    <t>Arithmetic from verified inputs</t>
  </si>
  <si>
    <t>ASSUMPTION</t>
  </si>
  <si>
    <t>SUGGESTIVE</t>
  </si>
  <si>
    <t>Observable signal consistent with thesis, not confirmed by primary source</t>
  </si>
  <si>
    <t>Comp</t>
  </si>
  <si>
    <t>Share Px</t>
  </si>
  <si>
    <t>Mkt Cap</t>
  </si>
  <si>
    <t>EV</t>
  </si>
  <si>
    <t>EV/EBITDA (BASIS)</t>
  </si>
  <si>
    <t>AB Dynamics (ABDP LN) GBP</t>
  </si>
  <si>
    <t>1,128p</t>
  </si>
  <si>
    <t>£258.9m</t>
  </si>
  <si>
    <t>~£228m est</t>
  </si>
  <si>
    <t>HORIBA (6856 JP) JPY</t>
  </si>
  <si>
    <t>¥25,875</t>
  </si>
  <si>
    <t>¥1,093B</t>
  </si>
  <si>
    <t>¥1,003B</t>
  </si>
  <si>
    <t>Hexagon (HEXAB SS) SEK</t>
  </si>
  <si>
    <t>SEK 87.04</t>
  </si>
  <si>
    <t>SEK 235.5bn</t>
  </si>
  <si>
    <t>n/a</t>
  </si>
  <si>
    <t>P/E 10.8x (EV/EBITDA not in BBG panel)</t>
  </si>
  <si>
    <t>Spectris (SXS LN)</t>
  </si>
  <si>
    <t>TAKEN PRIVATE</t>
  </si>
  <si>
    <t>by MI Metron</t>
  </si>
  <si>
    <t>2025</t>
  </si>
  <si>
    <t>Deal multiple UNVERIFIED</t>
  </si>
  <si>
    <t>Sources: Bloomberg L.P. 23-May-2026 (ABDP, HORIBA, HEXAB, SXS); Alpha Spread May-2026 (ABDP price)</t>
  </si>
  <si>
    <t>KEY READ: Racelogic entry 8.0x = parity with ABDP adjusted basis. No control premium.</t>
  </si>
  <si>
    <t>FY24 Revenue (£m)</t>
  </si>
  <si>
    <t>FY24 EBITDA (£m)</t>
  </si>
  <si>
    <t>FY24 EBITDA margin</t>
  </si>
  <si>
    <t>9-yr mean EBITDA margin (BBG)</t>
  </si>
  <si>
    <t>FY24 D&amp;A (£m)</t>
  </si>
  <si>
    <t>LT debt (£m)</t>
  </si>
  <si>
    <t>Cash (£m)</t>
  </si>
  <si>
    <t>Net debt / (net cash) (£m)</t>
  </si>
  <si>
    <t>Founder age</t>
  </si>
  <si>
    <t>SH03 buybacks FY21-FY26</t>
  </si>
  <si>
    <t>Pattern observable; intent UNCONFIRMED</t>
  </si>
  <si>
    <t>External CEO (MacKie)</t>
  </si>
  <si>
    <t>Active</t>
  </si>
  <si>
    <t>FY24 accounts signed by Mackie. Reading = transition prep, not confirmed</t>
  </si>
  <si>
    <t>Mar-26 board cleanup</t>
  </si>
  <si>
    <t>Yes</t>
  </si>
  <si>
    <t>3 officers terminated 03-Mar-26 + SH03 02-Mar</t>
  </si>
  <si>
    <t>Banker mandate</t>
  </si>
  <si>
    <t>None visible</t>
  </si>
  <si>
    <t>No RNS, no public M&amp;A news, no Tracxn/Crunchbase deal record</t>
  </si>
  <si>
    <t>VBOX PRO launch Feb-2026</t>
  </si>
  <si>
    <t>Net catalyst read</t>
  </si>
  <si>
    <t>Entry EV/EBITDA (x, ADJUSTED basis)</t>
  </si>
  <si>
    <t>Implied Entry EV (£m)</t>
  </si>
  <si>
    <t>Implied 100% equity value (£m)</t>
  </si>
  <si>
    <t>Transaction fees (£m)</t>
  </si>
  <si>
    <t>Entry leverage (x EBITDA)</t>
  </si>
  <si>
    <t>New senior debt (£m)</t>
  </si>
  <si>
    <t>Founder rollover (£m)</t>
  </si>
  <si>
    <t>Sits inside £2-40m Foresight G&amp;B band</t>
  </si>
  <si>
    <t>Foresight stake post-deal</t>
  </si>
  <si>
    <t>OPERATING ASSUMPTIONS</t>
  </si>
  <si>
    <t>Revenue growth p.a.</t>
  </si>
  <si>
    <t>9-yr CAGR was 8.2%; base case below</t>
  </si>
  <si>
    <t>Below 9-yr mean 22.7%. Biggest swing factor.</t>
  </si>
  <si>
    <t>D&amp;A % of revenue</t>
  </si>
  <si>
    <t>Capex % of revenue</t>
  </si>
  <si>
    <t>CH cash flow</t>
  </si>
  <si>
    <t>WC % of revenue change</t>
  </si>
  <si>
    <t>Cash tax rate</t>
  </si>
  <si>
    <t>BBG 9-yr avg ~10%; R&amp;D enhanced deduction per CH Note 7</t>
  </si>
  <si>
    <t>Senior debt rate</t>
  </si>
  <si>
    <t>Cash sweep</t>
  </si>
  <si>
    <t>Min cash (£m)</t>
  </si>
  <si>
    <t>EXIT ASSUMPTIONS</t>
  </si>
  <si>
    <t>Hold period (years)</t>
  </si>
  <si>
    <t>Exit EV/EBITDA (x)</t>
  </si>
  <si>
    <t>LTM EBITDA (£m)</t>
  </si>
  <si>
    <t>CH FY24 (Note 6): OpProfit £3.084m + D £0.359m + amort £0.025m</t>
  </si>
  <si>
    <t>Entry EV / LTM EBITDA multiple (x)</t>
  </si>
  <si>
    <t>8.0x = ABDP current adjusted EBITDA basis (no control premium, equity release)</t>
  </si>
  <si>
    <t>Implied Entry Enterprise Value (£m)</t>
  </si>
  <si>
    <t>LTM EBITDA × entry multiple</t>
  </si>
  <si>
    <t>less: Long-term debt (£m)</t>
  </si>
  <si>
    <t>plus: Cash (£m)</t>
  </si>
  <si>
    <t>CH balance sheet</t>
  </si>
  <si>
    <t>Entry EV − LT debt + cash = price paid to existing shareholders for 100% of equity</t>
  </si>
  <si>
    <t>USES OF FUNDS (£m)</t>
  </si>
  <si>
    <t>SOURCES OF FUNDS (£m)</t>
  </si>
  <si>
    <t>Acquire 100% equity (at Entry EV − net debt)</t>
  </si>
  <si>
    <t>Acquisition debt</t>
  </si>
  <si>
    <t>Transaction fees</t>
  </si>
  <si>
    <t>Founder rollover (Thomas)</t>
  </si>
  <si>
    <t>Foresight G&amp;B sponsor equity</t>
  </si>
  <si>
    <t>TOTAL USES</t>
  </si>
  <si>
    <t>TOTAL SOURCES</t>
  </si>
  <si>
    <t>Foresight equity %</t>
  </si>
  <si>
    <t>Check: Sources = Uses</t>
  </si>
  <si>
    <t>Sponsor equity is the plug. Sponsor cheque fits Foresight Growth &amp; Buyout £0.5-15m active mandate (press 2025).</t>
  </si>
  <si>
    <t>£m</t>
  </si>
  <si>
    <t>FY24A (Entry)</t>
  </si>
  <si>
    <t>Year 1</t>
  </si>
  <si>
    <t>Year 2</t>
  </si>
  <si>
    <t>Year 3</t>
  </si>
  <si>
    <t>Year 4</t>
  </si>
  <si>
    <t>Year 5</t>
  </si>
  <si>
    <t>Revenue</t>
  </si>
  <si>
    <t>EBITDA margin</t>
  </si>
  <si>
    <t>EBITDA</t>
  </si>
  <si>
    <t>D&amp;A</t>
  </si>
  <si>
    <t>EBIT</t>
  </si>
  <si>
    <t>Cash interest (senior)</t>
  </si>
  <si>
    <t>Profit before tax</t>
  </si>
  <si>
    <t>Cash tax (12% effective)</t>
  </si>
  <si>
    <t>Net profit</t>
  </si>
  <si>
    <t>FREE CASH FLOW BUILD</t>
  </si>
  <si>
    <t>Less: capex</t>
  </si>
  <si>
    <t>Less: WC change</t>
  </si>
  <si>
    <t>Less: cash interest</t>
  </si>
  <si>
    <t>Less: cash tax</t>
  </si>
  <si>
    <t>FCF (pre-debt repayment)</t>
  </si>
  <si>
    <t>ACQUISITION DEBT SCHEDULE &amp; CASH SWEEP</t>
  </si>
  <si>
    <t>Opening debt</t>
  </si>
  <si>
    <t>Interest rate</t>
  </si>
  <si>
    <t>Cash interest</t>
  </si>
  <si>
    <t>Closing debt</t>
  </si>
  <si>
    <t>Net senior debt at exit (£m)</t>
  </si>
  <si>
    <t>EXIT (YEAR 5)</t>
  </si>
  <si>
    <t>Y5 EBITDA</t>
  </si>
  <si>
    <t>Exit EV/EBITDA</t>
  </si>
  <si>
    <t>Exit EV</t>
  </si>
  <si>
    <t>Less: net senior debt</t>
  </si>
  <si>
    <t>Exit equity value (total)</t>
  </si>
  <si>
    <t>RETURNS TO FORESIGHT G&amp;B</t>
  </si>
  <si>
    <t>Sponsor equity invested</t>
  </si>
  <si>
    <t>Foresight stake</t>
  </si>
  <si>
    <t>Foresight share of exit</t>
  </si>
  <si>
    <t>MOIC</t>
  </si>
  <si>
    <t>IRR</t>
  </si>
  <si>
    <t>SENSITIVITY</t>
  </si>
  <si>
    <t>Base sponsor equity</t>
  </si>
  <si>
    <t>Base Y5 EBITDA</t>
  </si>
  <si>
    <t>Base Y5 net debt</t>
  </si>
  <si>
    <t>Exit x \ Margin</t>
  </si>
  <si>
    <t>Growth \ Exit x</t>
  </si>
  <si>
    <t>SCENARIO SUMMARY</t>
  </si>
  <si>
    <t xml:space="preserve">RACELOGIC LIMITED - LBO MODEL </t>
  </si>
  <si>
    <t>•  Warm intro to Julian Thomas confirmed NOT POSSIBLE - framing must reflect cold thematic approach</t>
  </si>
  <si>
    <t>Modelling choice - illustrative</t>
  </si>
  <si>
    <t>COMP TABLE - May 2026; CLARIFIED MULTIPLE BASIS</t>
  </si>
  <si>
    <t>~8x ADJUSTED EBITDA - PE-comp basis (BBG GAAP 27.8x penalises acquirer)</t>
  </si>
  <si>
    <t>9.7x T12M EBITDA - large diversified comp</t>
  </si>
  <si>
    <t>ENTRY ANCHORS - Companies House FY24 + Bloomberg</t>
  </si>
  <si>
    <t>CH consolidated income statement - turnover £22,683,967</t>
  </si>
  <si>
    <t>CH Note 6 - OP £3.084m + D £0.359m + amort £0.025m</t>
  </si>
  <si>
    <t>15.3% - cyclical trough</t>
  </si>
  <si>
    <t>BBG FY16-FY24 simple mean - context for 21% Y5 target</t>
  </si>
  <si>
    <t>CH balance sheet - no LT borrowings; BBG 9-yr confirms</t>
  </si>
  <si>
    <t>CATALYST SIGNALS - SUGGESTIVE NOT ACTIVE</t>
  </si>
  <si>
    <t>Fresh product launch CONTRADICTS sale-grooming reading - argues for continued investment</t>
  </si>
  <si>
    <t>TRANSACTION ASSUMPTIONS - ILLUSTRATIVE</t>
  </si>
  <si>
    <t>~64% retained - equity release in substance</t>
  </si>
  <si>
    <t>Foresight G&amp;B sponsor equity (£m) - PLUG</t>
  </si>
  <si>
    <t>EBITDA margin - entry</t>
  </si>
  <si>
    <t>EBITDA margin - Y5 target</t>
  </si>
  <si>
    <t>ENTRY VALUATION BUILD - how the equity price is derived</t>
  </si>
  <si>
    <t>CH balance sheet - no LT borrowings</t>
  </si>
  <si>
    <t>Equity value at entry - 100% basis (£m)</t>
  </si>
  <si>
    <t>SOURCES &amp; USES - illustrative entry structure</t>
  </si>
  <si>
    <t>OPERATING MODEL - 5-year projection</t>
  </si>
  <si>
    <t>RETURNS - equity bridge</t>
  </si>
  <si>
    <t>TABLE 1 - Foresight MOIC: Exit multiple (rows) × Y5 EBITDA margin (cols)</t>
  </si>
  <si>
    <t>TABLE 2 - Foresight IRR: Revenue growth × Exit multiple (margin held at 21%)</t>
  </si>
  <si>
    <t>Base:  Y5 margin 21%, exit 9.5x - HORIBA-current, partial recovery</t>
  </si>
  <si>
    <t xml:space="preserve">Bear:  Y5 margin 19%, exit 7.0x </t>
  </si>
  <si>
    <t xml:space="preserve">Bull:   Y5 margin 23%, exit 12.0x - full sector re-rating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</si>
</sst>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0&quot;x&quot;"/>
  </numFmts>
  <fonts count="15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color rgb="FF1B7A3D"/>
      <name val="Cambria"/>
      <family val="1"/>
    </font>
    <font>
      <b/>
      <sz val="11"/>
      <color rgb="FF1565C0"/>
      <name val="Cambria"/>
      <family val="1"/>
    </font>
    <font>
      <b/>
      <sz val="11"/>
      <color rgb="FFB7791F"/>
      <name val="Cambria"/>
      <family val="1"/>
    </font>
    <font>
      <b/>
      <sz val="11"/>
      <color rgb="FF8A1FB7"/>
      <name val="Cambria"/>
      <family val="1"/>
    </font>
    <font>
      <sz val="11"/>
      <color rgb="FF0000FF"/>
      <name val="Cambria"/>
      <family val="1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1B7A3D"/>
      <name val="Calibri"/>
      <family val="2"/>
    </font>
    <font>
      <b/>
      <sz val="11"/>
      <color rgb="FFB7791F"/>
      <name val="Calibri"/>
      <family val="2"/>
    </font>
    <font>
      <b/>
      <sz val="11"/>
      <name val="Calibri"/>
      <family val="2"/>
    </font>
    <font>
      <b/>
      <sz val="11"/>
      <color rgb="FF1565C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166" fontId="0" fillId="0" borderId="0" xfId="0" applyNumberFormat="1"/>
    <xf numFmtId="9" fontId="11" fillId="0" borderId="0" xfId="0" applyNumberFormat="1" applyFont="1"/>
    <xf numFmtId="164" fontId="11" fillId="0" borderId="0" xfId="0" applyNumberFormat="1" applyFont="1"/>
    <xf numFmtId="0" fontId="13" fillId="2" borderId="0" xfId="0" applyFont="1" applyFill="1"/>
    <xf numFmtId="0" fontId="14" fillId="2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B7791F"/>
      <rgbColor rgb="FF8A1FB7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4"/>
  <sheetViews>
    <sheetView showGridLines="0" topLeftCell="A45" zoomScale="157" zoomScaleNormal="100" workbookViewId="0">
      <selection activeCell="C54" sqref="C54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3" width="12" customWidth="1"/>
    <col min="4" max="4" width="10.33203125" customWidth="1"/>
    <col min="5" max="5" width="13" customWidth="1"/>
    <col min="6" max="6" width="100" customWidth="1"/>
  </cols>
  <sheetData>
    <row r="2" spans="2:6" ht="17.25" customHeight="1" x14ac:dyDescent="0.2">
      <c r="B2" s="19" t="s">
        <v>154</v>
      </c>
      <c r="C2" s="20"/>
      <c r="D2" s="20"/>
      <c r="E2" s="20"/>
      <c r="F2" s="20"/>
    </row>
    <row r="3" spans="2:6" ht="15" customHeight="1" x14ac:dyDescent="0.2">
      <c r="B3" t="s">
        <v>0</v>
      </c>
    </row>
    <row r="4" spans="2:6" ht="15" customHeight="1" x14ac:dyDescent="0.2">
      <c r="B4" t="s">
        <v>1</v>
      </c>
    </row>
    <row r="6" spans="2:6" ht="15" customHeight="1" x14ac:dyDescent="0.2">
      <c r="B6" t="s">
        <v>2</v>
      </c>
    </row>
    <row r="7" spans="2:6" ht="15" customHeight="1" x14ac:dyDescent="0.2">
      <c r="B7" t="s">
        <v>3</v>
      </c>
    </row>
    <row r="8" spans="2:6" ht="15" customHeight="1" x14ac:dyDescent="0.2">
      <c r="B8" t="s">
        <v>4</v>
      </c>
    </row>
    <row r="9" spans="2:6" ht="15" customHeight="1" x14ac:dyDescent="0.2">
      <c r="B9" t="s">
        <v>155</v>
      </c>
    </row>
    <row r="11" spans="2:6" ht="15" customHeight="1" x14ac:dyDescent="0.2">
      <c r="B11" s="19" t="s">
        <v>5</v>
      </c>
      <c r="C11" s="20"/>
      <c r="D11" s="20"/>
      <c r="E11" s="20"/>
      <c r="F11" s="20"/>
    </row>
    <row r="12" spans="2:6" ht="15" customHeight="1" x14ac:dyDescent="0.2">
      <c r="B12" s="2" t="s">
        <v>6</v>
      </c>
      <c r="C12" t="s">
        <v>7</v>
      </c>
    </row>
    <row r="13" spans="2:6" ht="15" customHeight="1" x14ac:dyDescent="0.2">
      <c r="B13" s="3" t="s">
        <v>8</v>
      </c>
      <c r="C13" t="s">
        <v>9</v>
      </c>
    </row>
    <row r="14" spans="2:6" ht="15" customHeight="1" x14ac:dyDescent="0.2">
      <c r="B14" s="4" t="s">
        <v>10</v>
      </c>
      <c r="C14" t="s">
        <v>156</v>
      </c>
    </row>
    <row r="15" spans="2:6" ht="15" customHeight="1" x14ac:dyDescent="0.2">
      <c r="B15" s="5" t="s">
        <v>11</v>
      </c>
      <c r="C15" t="s">
        <v>12</v>
      </c>
    </row>
    <row r="17" spans="2:6" ht="15" customHeight="1" x14ac:dyDescent="0.2">
      <c r="B17" s="19" t="s">
        <v>157</v>
      </c>
      <c r="C17" s="20"/>
      <c r="D17" s="20"/>
      <c r="E17" s="20"/>
      <c r="F17" s="20"/>
    </row>
    <row r="18" spans="2:6" ht="15" customHeight="1" x14ac:dyDescent="0.2"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</row>
    <row r="19" spans="2:6" ht="15" customHeight="1" x14ac:dyDescent="0.2">
      <c r="B19" t="s">
        <v>18</v>
      </c>
      <c r="C19" t="s">
        <v>19</v>
      </c>
      <c r="D19" t="s">
        <v>20</v>
      </c>
      <c r="E19" t="s">
        <v>21</v>
      </c>
      <c r="F19" t="s">
        <v>158</v>
      </c>
    </row>
    <row r="20" spans="2:6" ht="15" customHeight="1" x14ac:dyDescent="0.2">
      <c r="B20" t="s">
        <v>22</v>
      </c>
      <c r="C20" t="s">
        <v>23</v>
      </c>
      <c r="D20" t="s">
        <v>24</v>
      </c>
      <c r="E20" t="s">
        <v>25</v>
      </c>
      <c r="F20" t="s">
        <v>159</v>
      </c>
    </row>
    <row r="21" spans="2:6" ht="15" customHeight="1" x14ac:dyDescent="0.2"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  <row r="22" spans="2:6" ht="15" customHeight="1" x14ac:dyDescent="0.2">
      <c r="B22" t="s">
        <v>31</v>
      </c>
      <c r="C22" t="s">
        <v>32</v>
      </c>
      <c r="D22" t="s">
        <v>33</v>
      </c>
      <c r="E22" t="s">
        <v>34</v>
      </c>
      <c r="F22" t="s">
        <v>35</v>
      </c>
    </row>
    <row r="23" spans="2:6" ht="15" customHeight="1" x14ac:dyDescent="0.2"/>
    <row r="24" spans="2:6" ht="15" customHeight="1" x14ac:dyDescent="0.2">
      <c r="B24" t="s">
        <v>36</v>
      </c>
    </row>
    <row r="25" spans="2:6" ht="15" customHeight="1" x14ac:dyDescent="0.2">
      <c r="B25" t="s">
        <v>37</v>
      </c>
    </row>
    <row r="27" spans="2:6" ht="15" customHeight="1" x14ac:dyDescent="0.2">
      <c r="B27" s="19" t="s">
        <v>160</v>
      </c>
      <c r="C27" s="20"/>
      <c r="D27" s="20"/>
      <c r="E27" s="20"/>
      <c r="F27" s="20"/>
    </row>
    <row r="29" spans="2:6" ht="15" customHeight="1" x14ac:dyDescent="0.2">
      <c r="B29" t="s">
        <v>38</v>
      </c>
      <c r="C29" s="6">
        <v>22.684000000000001</v>
      </c>
      <c r="E29" s="2" t="s">
        <v>6</v>
      </c>
      <c r="F29" t="s">
        <v>161</v>
      </c>
    </row>
    <row r="30" spans="2:6" ht="15" customHeight="1" x14ac:dyDescent="0.2">
      <c r="B30" t="s">
        <v>39</v>
      </c>
      <c r="C30" s="6">
        <v>3.4670000000000001</v>
      </c>
      <c r="E30" s="2" t="s">
        <v>6</v>
      </c>
      <c r="F30" t="s">
        <v>162</v>
      </c>
    </row>
    <row r="31" spans="2:6" ht="15" customHeight="1" x14ac:dyDescent="0.2">
      <c r="B31" t="s">
        <v>40</v>
      </c>
      <c r="C31" s="7">
        <f>C30/C29</f>
        <v>0.15283900546640805</v>
      </c>
      <c r="E31" s="3" t="s">
        <v>8</v>
      </c>
      <c r="F31" t="s">
        <v>163</v>
      </c>
    </row>
    <row r="32" spans="2:6" ht="15" customHeight="1" x14ac:dyDescent="0.2">
      <c r="B32" t="s">
        <v>41</v>
      </c>
      <c r="C32" s="8">
        <v>0.22700000000000001</v>
      </c>
      <c r="E32" s="2" t="s">
        <v>6</v>
      </c>
      <c r="F32" t="s">
        <v>164</v>
      </c>
    </row>
    <row r="33" spans="2:6" ht="15" customHeight="1" x14ac:dyDescent="0.2">
      <c r="B33" t="s">
        <v>42</v>
      </c>
      <c r="C33" s="6">
        <v>0.38400000000000001</v>
      </c>
      <c r="E33" s="2" t="s">
        <v>6</v>
      </c>
    </row>
    <row r="34" spans="2:6" ht="15" customHeight="1" x14ac:dyDescent="0.2">
      <c r="B34" t="s">
        <v>43</v>
      </c>
      <c r="C34" s="6">
        <v>0</v>
      </c>
      <c r="E34" s="2" t="s">
        <v>6</v>
      </c>
      <c r="F34" t="s">
        <v>165</v>
      </c>
    </row>
    <row r="35" spans="2:6" ht="15" customHeight="1" x14ac:dyDescent="0.2">
      <c r="B35" t="s">
        <v>44</v>
      </c>
      <c r="C35" s="6">
        <v>3.2370000000000001</v>
      </c>
      <c r="E35" s="2" t="s">
        <v>6</v>
      </c>
    </row>
    <row r="36" spans="2:6" ht="15" customHeight="1" x14ac:dyDescent="0.2">
      <c r="B36" t="s">
        <v>45</v>
      </c>
      <c r="C36">
        <f>C34-C35</f>
        <v>-3.2370000000000001</v>
      </c>
      <c r="E36" s="3" t="s">
        <v>8</v>
      </c>
    </row>
    <row r="38" spans="2:6" ht="15" customHeight="1" x14ac:dyDescent="0.2">
      <c r="B38" s="19" t="s">
        <v>166</v>
      </c>
      <c r="C38" s="20"/>
      <c r="D38" s="20"/>
      <c r="E38" s="20"/>
      <c r="F38" s="20"/>
    </row>
    <row r="39" spans="2:6" ht="15" customHeight="1" x14ac:dyDescent="0.2">
      <c r="B39" t="s">
        <v>46</v>
      </c>
      <c r="C39">
        <v>57</v>
      </c>
      <c r="E39" s="2" t="s">
        <v>6</v>
      </c>
    </row>
    <row r="40" spans="2:6" ht="15" customHeight="1" x14ac:dyDescent="0.2">
      <c r="B40" t="s">
        <v>47</v>
      </c>
      <c r="C40">
        <v>9</v>
      </c>
      <c r="E40" s="5" t="s">
        <v>11</v>
      </c>
      <c r="F40" t="s">
        <v>48</v>
      </c>
    </row>
    <row r="41" spans="2:6" ht="15" customHeight="1" x14ac:dyDescent="0.2">
      <c r="B41" t="s">
        <v>49</v>
      </c>
      <c r="C41" s="21" t="s">
        <v>50</v>
      </c>
      <c r="E41" s="5" t="s">
        <v>11</v>
      </c>
      <c r="F41" t="s">
        <v>51</v>
      </c>
    </row>
    <row r="42" spans="2:6" ht="15" customHeight="1" x14ac:dyDescent="0.2">
      <c r="B42" t="s">
        <v>52</v>
      </c>
      <c r="C42" s="21" t="s">
        <v>53</v>
      </c>
      <c r="E42" s="5" t="s">
        <v>11</v>
      </c>
      <c r="F42" t="s">
        <v>54</v>
      </c>
    </row>
    <row r="43" spans="2:6" ht="15" customHeight="1" x14ac:dyDescent="0.2">
      <c r="B43" t="s">
        <v>55</v>
      </c>
      <c r="C43" s="21" t="s">
        <v>56</v>
      </c>
      <c r="E43" s="2" t="s">
        <v>6</v>
      </c>
      <c r="F43" t="s">
        <v>57</v>
      </c>
    </row>
    <row r="44" spans="2:6" ht="15" customHeight="1" x14ac:dyDescent="0.2">
      <c r="B44" t="s">
        <v>58</v>
      </c>
      <c r="C44" s="21" t="s">
        <v>53</v>
      </c>
      <c r="E44" s="5" t="s">
        <v>11</v>
      </c>
      <c r="F44" t="s">
        <v>167</v>
      </c>
    </row>
    <row r="45" spans="2:6" ht="15" customHeight="1" x14ac:dyDescent="0.2">
      <c r="B45" t="s">
        <v>59</v>
      </c>
      <c r="E45" s="5" t="s">
        <v>11</v>
      </c>
    </row>
    <row r="47" spans="2:6" ht="15" customHeight="1" x14ac:dyDescent="0.2">
      <c r="B47" s="19" t="s">
        <v>168</v>
      </c>
      <c r="C47" s="20"/>
      <c r="D47" s="20"/>
      <c r="E47" s="20"/>
      <c r="F47" s="20"/>
    </row>
    <row r="49" spans="2:6" ht="15" customHeight="1" x14ac:dyDescent="0.2">
      <c r="B49" t="s">
        <v>60</v>
      </c>
      <c r="C49" s="6">
        <v>8</v>
      </c>
      <c r="E49" s="4" t="s">
        <v>10</v>
      </c>
    </row>
    <row r="50" spans="2:6" ht="15" customHeight="1" x14ac:dyDescent="0.2">
      <c r="B50" t="s">
        <v>61</v>
      </c>
      <c r="C50">
        <f>C30*C49</f>
        <v>27.736000000000001</v>
      </c>
      <c r="E50" s="3" t="s">
        <v>8</v>
      </c>
    </row>
    <row r="51" spans="2:6" ht="15" customHeight="1" x14ac:dyDescent="0.2">
      <c r="B51" t="s">
        <v>62</v>
      </c>
      <c r="C51">
        <f>C50-C36</f>
        <v>30.972999999999999</v>
      </c>
      <c r="E51" s="3" t="s">
        <v>8</v>
      </c>
    </row>
    <row r="52" spans="2:6" ht="15" customHeight="1" x14ac:dyDescent="0.2">
      <c r="B52" t="s">
        <v>63</v>
      </c>
      <c r="C52" s="6">
        <v>0.85</v>
      </c>
      <c r="E52" s="4" t="s">
        <v>10</v>
      </c>
    </row>
    <row r="53" spans="2:6" ht="15" customHeight="1" x14ac:dyDescent="0.2">
      <c r="B53" t="s">
        <v>64</v>
      </c>
      <c r="C53" s="6">
        <v>3</v>
      </c>
      <c r="E53" s="4" t="s">
        <v>10</v>
      </c>
    </row>
    <row r="54" spans="2:6" ht="15" customHeight="1" x14ac:dyDescent="0.2">
      <c r="B54" t="s">
        <v>65</v>
      </c>
      <c r="C54">
        <f>ROUND(C30*C53,2)</f>
        <v>10.4</v>
      </c>
      <c r="E54" s="3" t="s">
        <v>8</v>
      </c>
    </row>
    <row r="55" spans="2:6" ht="15" customHeight="1" x14ac:dyDescent="0.2">
      <c r="B55" t="s">
        <v>66</v>
      </c>
      <c r="C55" s="6">
        <v>14</v>
      </c>
      <c r="E55" s="4" t="s">
        <v>10</v>
      </c>
      <c r="F55" t="s">
        <v>169</v>
      </c>
    </row>
    <row r="56" spans="2:6" ht="15" customHeight="1" x14ac:dyDescent="0.2">
      <c r="B56" t="s">
        <v>170</v>
      </c>
      <c r="C56">
        <f>C51+C52-C54-C55</f>
        <v>7.4230000000000018</v>
      </c>
      <c r="E56" s="3" t="s">
        <v>8</v>
      </c>
      <c r="F56" t="s">
        <v>67</v>
      </c>
    </row>
    <row r="57" spans="2:6" ht="15" customHeight="1" x14ac:dyDescent="0.2">
      <c r="B57" t="s">
        <v>68</v>
      </c>
      <c r="C57" s="7">
        <f>C56/(C56+C55)</f>
        <v>0.34649675582318074</v>
      </c>
      <c r="E57" s="3" t="s">
        <v>8</v>
      </c>
    </row>
    <row r="59" spans="2:6" ht="15" customHeight="1" x14ac:dyDescent="0.2">
      <c r="B59" s="19" t="s">
        <v>69</v>
      </c>
      <c r="C59" s="20"/>
      <c r="D59" s="20"/>
      <c r="E59" s="20"/>
      <c r="F59" s="20"/>
    </row>
    <row r="61" spans="2:6" ht="15" customHeight="1" x14ac:dyDescent="0.2">
      <c r="B61" t="s">
        <v>70</v>
      </c>
      <c r="C61" s="8">
        <v>0.05</v>
      </c>
      <c r="E61" s="4" t="s">
        <v>10</v>
      </c>
      <c r="F61" t="s">
        <v>71</v>
      </c>
    </row>
    <row r="62" spans="2:6" ht="15" customHeight="1" x14ac:dyDescent="0.2">
      <c r="B62" t="s">
        <v>171</v>
      </c>
      <c r="C62" s="7">
        <f>C31</f>
        <v>0.15283900546640805</v>
      </c>
      <c r="E62" s="3" t="s">
        <v>8</v>
      </c>
    </row>
    <row r="63" spans="2:6" ht="15" customHeight="1" x14ac:dyDescent="0.2">
      <c r="B63" t="s">
        <v>172</v>
      </c>
      <c r="C63" s="8">
        <v>0.21</v>
      </c>
      <c r="E63" s="4" t="s">
        <v>10</v>
      </c>
      <c r="F63" t="s">
        <v>72</v>
      </c>
    </row>
    <row r="64" spans="2:6" ht="15" customHeight="1" x14ac:dyDescent="0.2">
      <c r="B64" t="s">
        <v>73</v>
      </c>
      <c r="C64" s="7">
        <f>C33/C29</f>
        <v>1.692823135249515E-2</v>
      </c>
      <c r="E64" s="3" t="s">
        <v>8</v>
      </c>
    </row>
    <row r="65" spans="2:6" ht="15" customHeight="1" x14ac:dyDescent="0.2">
      <c r="B65" t="s">
        <v>74</v>
      </c>
      <c r="C65" s="8">
        <v>2.9000000000000001E-2</v>
      </c>
      <c r="E65" s="2" t="s">
        <v>6</v>
      </c>
      <c r="F65" t="s">
        <v>75</v>
      </c>
    </row>
    <row r="66" spans="2:6" ht="15" customHeight="1" x14ac:dyDescent="0.2">
      <c r="B66" t="s">
        <v>76</v>
      </c>
      <c r="C66" s="8">
        <v>0.4</v>
      </c>
      <c r="E66" s="4" t="s">
        <v>10</v>
      </c>
    </row>
    <row r="67" spans="2:6" ht="15" customHeight="1" x14ac:dyDescent="0.2">
      <c r="B67" t="s">
        <v>77</v>
      </c>
      <c r="C67" s="8">
        <v>0.12</v>
      </c>
      <c r="E67" s="2" t="s">
        <v>6</v>
      </c>
      <c r="F67" t="s">
        <v>78</v>
      </c>
    </row>
    <row r="68" spans="2:6" ht="15" customHeight="1" x14ac:dyDescent="0.2">
      <c r="B68" t="s">
        <v>79</v>
      </c>
      <c r="C68" s="8">
        <v>8.5000000000000006E-2</v>
      </c>
      <c r="E68" s="4" t="s">
        <v>10</v>
      </c>
    </row>
    <row r="69" spans="2:6" ht="15" customHeight="1" x14ac:dyDescent="0.2">
      <c r="B69" t="s">
        <v>80</v>
      </c>
      <c r="C69" s="8">
        <v>1</v>
      </c>
      <c r="E69" s="4" t="s">
        <v>10</v>
      </c>
    </row>
    <row r="70" spans="2:6" ht="15" customHeight="1" x14ac:dyDescent="0.2">
      <c r="B70" t="s">
        <v>81</v>
      </c>
      <c r="C70" s="6">
        <v>2</v>
      </c>
      <c r="E70" s="4" t="s">
        <v>10</v>
      </c>
    </row>
    <row r="72" spans="2:6" ht="15" customHeight="1" x14ac:dyDescent="0.2">
      <c r="B72" s="19" t="s">
        <v>82</v>
      </c>
      <c r="C72" s="20"/>
      <c r="D72" s="20"/>
      <c r="E72" s="20"/>
      <c r="F72" s="20"/>
    </row>
    <row r="73" spans="2:6" ht="15" customHeight="1" x14ac:dyDescent="0.2">
      <c r="B73" t="s">
        <v>83</v>
      </c>
      <c r="C73" s="6">
        <v>5</v>
      </c>
      <c r="E73" s="4" t="s">
        <v>10</v>
      </c>
    </row>
    <row r="74" spans="2:6" ht="15" customHeight="1" x14ac:dyDescent="0.2">
      <c r="B74" t="s">
        <v>84</v>
      </c>
      <c r="C74" s="6">
        <v>9.5</v>
      </c>
      <c r="E74" s="4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2"/>
  <sheetViews>
    <sheetView showGridLines="0" tabSelected="1" zoomScale="168" workbookViewId="0">
      <selection activeCell="E53" sqref="E53"/>
    </sheetView>
  </sheetViews>
  <sheetFormatPr baseColWidth="10" defaultColWidth="8.83203125" defaultRowHeight="15" x14ac:dyDescent="0.2"/>
  <cols>
    <col min="1" max="1" width="3" customWidth="1"/>
    <col min="2" max="2" width="42" customWidth="1"/>
    <col min="3" max="5" width="12" customWidth="1"/>
    <col min="6" max="6" width="17.5" customWidth="1"/>
    <col min="7" max="8" width="12" customWidth="1"/>
  </cols>
  <sheetData>
    <row r="1" spans="2:10" ht="19" x14ac:dyDescent="0.25">
      <c r="B1" s="9" t="s">
        <v>154</v>
      </c>
    </row>
    <row r="3" spans="2:10" x14ac:dyDescent="0.2">
      <c r="B3" s="19" t="s">
        <v>173</v>
      </c>
      <c r="C3" s="20"/>
      <c r="D3" s="20"/>
      <c r="E3" s="20"/>
      <c r="F3" s="20"/>
      <c r="G3" s="20"/>
      <c r="H3" s="20"/>
      <c r="I3" s="20"/>
      <c r="J3" s="20"/>
    </row>
    <row r="4" spans="2:10" x14ac:dyDescent="0.2">
      <c r="B4" t="s">
        <v>85</v>
      </c>
      <c r="C4">
        <f>'Cover &amp; Assumptions'!$C$30</f>
        <v>3.4670000000000001</v>
      </c>
      <c r="E4" s="11" t="s">
        <v>6</v>
      </c>
      <c r="F4" t="s">
        <v>86</v>
      </c>
    </row>
    <row r="5" spans="2:10" x14ac:dyDescent="0.2">
      <c r="B5" t="s">
        <v>87</v>
      </c>
      <c r="C5">
        <f>'Cover &amp; Assumptions'!$C$49</f>
        <v>8</v>
      </c>
      <c r="E5" s="12" t="s">
        <v>10</v>
      </c>
      <c r="F5" t="s">
        <v>88</v>
      </c>
    </row>
    <row r="6" spans="2:10" x14ac:dyDescent="0.2">
      <c r="B6" s="13" t="s">
        <v>89</v>
      </c>
      <c r="C6" s="13">
        <f>C4*C5</f>
        <v>27.736000000000001</v>
      </c>
      <c r="E6" s="14" t="s">
        <v>8</v>
      </c>
      <c r="F6" t="s">
        <v>90</v>
      </c>
    </row>
    <row r="7" spans="2:10" x14ac:dyDescent="0.2">
      <c r="B7" t="s">
        <v>91</v>
      </c>
      <c r="C7">
        <f>'Cover &amp; Assumptions'!$C$34</f>
        <v>0</v>
      </c>
      <c r="E7" s="11" t="s">
        <v>6</v>
      </c>
      <c r="F7" t="s">
        <v>174</v>
      </c>
    </row>
    <row r="8" spans="2:10" x14ac:dyDescent="0.2">
      <c r="B8" t="s">
        <v>92</v>
      </c>
      <c r="C8">
        <f>'Cover &amp; Assumptions'!$C$35</f>
        <v>3.2370000000000001</v>
      </c>
      <c r="E8" s="11" t="s">
        <v>6</v>
      </c>
      <c r="F8" t="s">
        <v>93</v>
      </c>
    </row>
    <row r="9" spans="2:10" x14ac:dyDescent="0.2">
      <c r="B9" s="13" t="s">
        <v>175</v>
      </c>
      <c r="C9" s="13">
        <f>C6-C7+C8</f>
        <v>30.972999999999999</v>
      </c>
      <c r="E9" s="14" t="s">
        <v>8</v>
      </c>
      <c r="F9" t="s">
        <v>94</v>
      </c>
    </row>
    <row r="11" spans="2:10" x14ac:dyDescent="0.2">
      <c r="B11" s="19" t="s">
        <v>176</v>
      </c>
      <c r="C11" s="20"/>
      <c r="D11" s="20"/>
      <c r="E11" s="20"/>
      <c r="F11" s="20"/>
      <c r="G11" s="20"/>
      <c r="H11" s="20"/>
      <c r="I11" s="20"/>
      <c r="J11" s="20"/>
    </row>
    <row r="12" spans="2:10" x14ac:dyDescent="0.2">
      <c r="B12" s="13" t="s">
        <v>95</v>
      </c>
      <c r="F12" s="13" t="s">
        <v>96</v>
      </c>
    </row>
    <row r="13" spans="2:10" x14ac:dyDescent="0.2">
      <c r="B13" t="s">
        <v>97</v>
      </c>
      <c r="C13">
        <f>C9</f>
        <v>30.972999999999999</v>
      </c>
      <c r="F13" t="s">
        <v>98</v>
      </c>
      <c r="G13">
        <f>'Cover &amp; Assumptions'!$C$54</f>
        <v>10.4</v>
      </c>
    </row>
    <row r="14" spans="2:10" x14ac:dyDescent="0.2">
      <c r="B14" t="s">
        <v>99</v>
      </c>
      <c r="C14">
        <f>'Cover &amp; Assumptions'!$C$52</f>
        <v>0.85</v>
      </c>
      <c r="F14" t="s">
        <v>100</v>
      </c>
      <c r="G14">
        <f>'Cover &amp; Assumptions'!$C$55</f>
        <v>14</v>
      </c>
    </row>
    <row r="15" spans="2:10" x14ac:dyDescent="0.2">
      <c r="F15" t="s">
        <v>101</v>
      </c>
      <c r="G15">
        <f>C16-G13-G14</f>
        <v>7.4230000000000018</v>
      </c>
    </row>
    <row r="16" spans="2:10" x14ac:dyDescent="0.2">
      <c r="B16" s="13" t="s">
        <v>102</v>
      </c>
      <c r="C16" s="13">
        <f>SUM(C13:C15)</f>
        <v>31.823</v>
      </c>
      <c r="F16" s="13" t="s">
        <v>103</v>
      </c>
      <c r="G16" s="13">
        <f>SUM(G13:G15)</f>
        <v>31.823</v>
      </c>
    </row>
    <row r="17" spans="2:10" x14ac:dyDescent="0.2">
      <c r="F17" t="s">
        <v>104</v>
      </c>
      <c r="G17" s="7">
        <f>G15/(G15+G14)</f>
        <v>0.34649675582318074</v>
      </c>
    </row>
    <row r="18" spans="2:10" x14ac:dyDescent="0.2">
      <c r="E18" t="s">
        <v>105</v>
      </c>
      <c r="G18" t="str">
        <f>IF(ROUND(G16-C16,2)=0,"OK","ERROR")</f>
        <v>OK</v>
      </c>
    </row>
    <row r="19" spans="2:10" x14ac:dyDescent="0.2">
      <c r="B19" t="s">
        <v>106</v>
      </c>
    </row>
    <row r="21" spans="2:10" x14ac:dyDescent="0.2">
      <c r="B21" s="19" t="s">
        <v>177</v>
      </c>
      <c r="C21" s="20"/>
      <c r="D21" s="20"/>
      <c r="E21" s="20"/>
      <c r="F21" s="20"/>
      <c r="G21" s="20"/>
      <c r="H21" s="20"/>
      <c r="I21" s="20"/>
      <c r="J21" s="20"/>
    </row>
    <row r="22" spans="2:10" x14ac:dyDescent="0.2">
      <c r="B22" t="s">
        <v>107</v>
      </c>
      <c r="C22" s="15" t="s">
        <v>108</v>
      </c>
      <c r="D22" s="15" t="s">
        <v>109</v>
      </c>
      <c r="E22" s="15" t="s">
        <v>110</v>
      </c>
      <c r="F22" s="15" t="s">
        <v>111</v>
      </c>
      <c r="G22" s="15" t="s">
        <v>112</v>
      </c>
      <c r="H22" s="15" t="s">
        <v>113</v>
      </c>
    </row>
    <row r="23" spans="2:10" x14ac:dyDescent="0.2">
      <c r="B23" t="s">
        <v>114</v>
      </c>
      <c r="C23">
        <f>'Cover &amp; Assumptions'!$C$29</f>
        <v>22.684000000000001</v>
      </c>
      <c r="D23">
        <f>C23*(1+'Cover &amp; Assumptions'!$C$61)</f>
        <v>23.818200000000001</v>
      </c>
      <c r="E23">
        <f>D23*(1+'Cover &amp; Assumptions'!$C$61)</f>
        <v>25.009110000000003</v>
      </c>
      <c r="F23">
        <f>E23*(1+'Cover &amp; Assumptions'!$C$61)</f>
        <v>26.259565500000004</v>
      </c>
      <c r="G23">
        <f>F23*(1+'Cover &amp; Assumptions'!$C$61)</f>
        <v>27.572543775000007</v>
      </c>
      <c r="H23">
        <f>G23*(1+'Cover &amp; Assumptions'!$C$61)</f>
        <v>28.951170963750009</v>
      </c>
    </row>
    <row r="24" spans="2:10" x14ac:dyDescent="0.2">
      <c r="B24" t="s">
        <v>115</v>
      </c>
      <c r="C24" s="7">
        <f>'Cover &amp; Assumptions'!$C$62</f>
        <v>0.15283900546640805</v>
      </c>
      <c r="D24" s="7">
        <f>'Cover &amp; Assumptions'!$C$62+('Cover &amp; Assumptions'!$C$63-'Cover &amp; Assumptions'!$C$62)*1/5</f>
        <v>0.16427120437312645</v>
      </c>
      <c r="E24" s="7">
        <f>'Cover &amp; Assumptions'!$C$62+('Cover &amp; Assumptions'!$C$63-'Cover &amp; Assumptions'!$C$62)*2/5</f>
        <v>0.17570340327984482</v>
      </c>
      <c r="F24" s="7">
        <f>'Cover &amp; Assumptions'!$C$62+('Cover &amp; Assumptions'!$C$63-'Cover &amp; Assumptions'!$C$62)*3/5</f>
        <v>0.18713560218656322</v>
      </c>
      <c r="G24" s="7">
        <f>'Cover &amp; Assumptions'!$C$62+('Cover &amp; Assumptions'!$C$63-'Cover &amp; Assumptions'!$C$62)*4/5</f>
        <v>0.19856780109328159</v>
      </c>
      <c r="H24" s="7">
        <f>'Cover &amp; Assumptions'!$C$62+('Cover &amp; Assumptions'!$C$63-'Cover &amp; Assumptions'!$C$62)*5/5</f>
        <v>0.21</v>
      </c>
    </row>
    <row r="25" spans="2:10" x14ac:dyDescent="0.2">
      <c r="B25" t="s">
        <v>116</v>
      </c>
      <c r="C25">
        <f t="shared" ref="C25:H25" si="0">C23*C24</f>
        <v>3.4670000000000005</v>
      </c>
      <c r="D25">
        <f t="shared" si="0"/>
        <v>3.9126444000000005</v>
      </c>
      <c r="E25">
        <f t="shared" si="0"/>
        <v>4.3941857400000002</v>
      </c>
      <c r="F25">
        <f t="shared" si="0"/>
        <v>4.9140996030000013</v>
      </c>
      <c r="G25">
        <f t="shared" si="0"/>
        <v>5.4750193879500006</v>
      </c>
      <c r="H25">
        <f t="shared" si="0"/>
        <v>6.0797459023875016</v>
      </c>
    </row>
    <row r="26" spans="2:10" x14ac:dyDescent="0.2">
      <c r="B26" t="s">
        <v>117</v>
      </c>
      <c r="C26">
        <f>-C23*'Cover &amp; Assumptions'!$C$64</f>
        <v>-0.38400000000000001</v>
      </c>
      <c r="D26">
        <f>-D23*'Cover &amp; Assumptions'!$C$64</f>
        <v>-0.4032</v>
      </c>
      <c r="E26">
        <f>-E23*'Cover &amp; Assumptions'!$C$64</f>
        <v>-0.42336000000000001</v>
      </c>
      <c r="F26">
        <f>-F23*'Cover &amp; Assumptions'!$C$64</f>
        <v>-0.44452800000000003</v>
      </c>
      <c r="G26">
        <f>-G23*'Cover &amp; Assumptions'!$C$64</f>
        <v>-0.46675440000000007</v>
      </c>
      <c r="H26">
        <f>-H23*'Cover &amp; Assumptions'!$C$64</f>
        <v>-0.49009212000000013</v>
      </c>
    </row>
    <row r="27" spans="2:10" x14ac:dyDescent="0.2">
      <c r="B27" t="s">
        <v>118</v>
      </c>
      <c r="C27">
        <f t="shared" ref="C27:H27" si="1">C25+C26</f>
        <v>3.0830000000000006</v>
      </c>
      <c r="D27">
        <f t="shared" si="1"/>
        <v>3.5094444000000005</v>
      </c>
      <c r="E27">
        <f t="shared" si="1"/>
        <v>3.97082574</v>
      </c>
      <c r="F27">
        <f t="shared" si="1"/>
        <v>4.4695716030000012</v>
      </c>
      <c r="G27">
        <f t="shared" si="1"/>
        <v>5.0082649879500005</v>
      </c>
      <c r="H27">
        <f t="shared" si="1"/>
        <v>5.5896537823875017</v>
      </c>
    </row>
    <row r="28" spans="2:10" x14ac:dyDescent="0.2">
      <c r="B28" t="s">
        <v>119</v>
      </c>
      <c r="C28">
        <v>0</v>
      </c>
      <c r="D28">
        <f>-D45</f>
        <v>-0.88400000000000012</v>
      </c>
      <c r="E28">
        <f>-E45</f>
        <v>-0.75061942188000008</v>
      </c>
      <c r="F28">
        <f>-F45</f>
        <v>-0.5759007854346242</v>
      </c>
      <c r="G28">
        <f>-G45</f>
        <v>-0.35411464423823402</v>
      </c>
      <c r="H28">
        <f>-H45</f>
        <v>-7.891765628396899E-2</v>
      </c>
    </row>
    <row r="29" spans="2:10" x14ac:dyDescent="0.2">
      <c r="B29" t="s">
        <v>120</v>
      </c>
      <c r="C29">
        <f t="shared" ref="C29:H29" si="2">C27+C28</f>
        <v>3.0830000000000006</v>
      </c>
      <c r="D29">
        <f t="shared" si="2"/>
        <v>2.6254444000000001</v>
      </c>
      <c r="E29">
        <f t="shared" si="2"/>
        <v>3.2202063181199998</v>
      </c>
      <c r="F29">
        <f t="shared" si="2"/>
        <v>3.8936708175653769</v>
      </c>
      <c r="G29">
        <f t="shared" si="2"/>
        <v>4.6541503437117662</v>
      </c>
      <c r="H29">
        <f t="shared" si="2"/>
        <v>5.5107361261035326</v>
      </c>
    </row>
    <row r="30" spans="2:10" x14ac:dyDescent="0.2">
      <c r="B30" t="s">
        <v>121</v>
      </c>
      <c r="C30">
        <f>-MAX(0,C29)*'Cover &amp; Assumptions'!$C$67</f>
        <v>-0.36996000000000007</v>
      </c>
      <c r="D30">
        <f>-MAX(0,D29)*'Cover &amp; Assumptions'!$C$67</f>
        <v>-0.31505332800000002</v>
      </c>
      <c r="E30">
        <f>-MAX(0,E29)*'Cover &amp; Assumptions'!$C$67</f>
        <v>-0.38642475817439997</v>
      </c>
      <c r="F30">
        <f>-MAX(0,F29)*'Cover &amp; Assumptions'!$C$67</f>
        <v>-0.46724049810784524</v>
      </c>
      <c r="G30">
        <f>-MAX(0,G29)*'Cover &amp; Assumptions'!$C$67</f>
        <v>-0.55849804124541191</v>
      </c>
      <c r="H30">
        <f>-MAX(0,H29)*'Cover &amp; Assumptions'!$C$67</f>
        <v>-0.66128833513242391</v>
      </c>
    </row>
    <row r="31" spans="2:10" x14ac:dyDescent="0.2">
      <c r="B31" t="s">
        <v>122</v>
      </c>
      <c r="C31">
        <f t="shared" ref="C31:H31" si="3">C29+C30</f>
        <v>2.7130400000000003</v>
      </c>
      <c r="D31">
        <f t="shared" si="3"/>
        <v>2.3103910720000003</v>
      </c>
      <c r="E31">
        <f t="shared" si="3"/>
        <v>2.8337815599455998</v>
      </c>
      <c r="F31">
        <f t="shared" si="3"/>
        <v>3.4264303194575318</v>
      </c>
      <c r="G31">
        <f t="shared" si="3"/>
        <v>4.0956523024663545</v>
      </c>
      <c r="H31">
        <f t="shared" si="3"/>
        <v>4.8494477909711087</v>
      </c>
    </row>
    <row r="33" spans="2:10" x14ac:dyDescent="0.2">
      <c r="B33" s="19" t="s">
        <v>123</v>
      </c>
      <c r="C33" s="20"/>
      <c r="D33" s="20"/>
      <c r="E33" s="20"/>
      <c r="F33" s="20"/>
      <c r="G33" s="20"/>
      <c r="H33" s="20"/>
      <c r="I33" s="20"/>
      <c r="J33" s="20"/>
    </row>
    <row r="34" spans="2:10" x14ac:dyDescent="0.2">
      <c r="B34" t="s">
        <v>116</v>
      </c>
      <c r="C34">
        <f t="shared" ref="C34:H34" si="4">C25</f>
        <v>3.4670000000000005</v>
      </c>
      <c r="D34">
        <f t="shared" si="4"/>
        <v>3.9126444000000005</v>
      </c>
      <c r="E34">
        <f t="shared" si="4"/>
        <v>4.3941857400000002</v>
      </c>
      <c r="F34">
        <f t="shared" si="4"/>
        <v>4.9140996030000013</v>
      </c>
      <c r="G34">
        <f t="shared" si="4"/>
        <v>5.4750193879500006</v>
      </c>
      <c r="H34">
        <f t="shared" si="4"/>
        <v>6.0797459023875016</v>
      </c>
    </row>
    <row r="35" spans="2:10" x14ac:dyDescent="0.2">
      <c r="B35" t="s">
        <v>124</v>
      </c>
      <c r="C35">
        <f>-C23*'Cover &amp; Assumptions'!$C$65</f>
        <v>-0.65783600000000009</v>
      </c>
      <c r="D35">
        <f>-D23*'Cover &amp; Assumptions'!$C$65</f>
        <v>-0.69072780000000011</v>
      </c>
      <c r="E35">
        <f>-E23*'Cover &amp; Assumptions'!$C$65</f>
        <v>-0.72526419000000009</v>
      </c>
      <c r="F35">
        <f>-F23*'Cover &amp; Assumptions'!$C$65</f>
        <v>-0.76152739950000015</v>
      </c>
      <c r="G35">
        <f>-G23*'Cover &amp; Assumptions'!$C$65</f>
        <v>-0.79960376947500023</v>
      </c>
      <c r="H35">
        <f>-H23*'Cover &amp; Assumptions'!$C$65</f>
        <v>-0.83958395794875029</v>
      </c>
    </row>
    <row r="36" spans="2:10" x14ac:dyDescent="0.2">
      <c r="B36" t="s">
        <v>125</v>
      </c>
      <c r="C36">
        <v>0</v>
      </c>
      <c r="D36">
        <f>-(D23-C23)*'Cover &amp; Assumptions'!$C$66</f>
        <v>-0.45367999999999997</v>
      </c>
      <c r="E36">
        <f>-(E23-D23)*'Cover &amp; Assumptions'!$C$66</f>
        <v>-0.47636400000000095</v>
      </c>
      <c r="F36">
        <f>-(F23-E23)*'Cover &amp; Assumptions'!$C$66</f>
        <v>-0.50018220000000047</v>
      </c>
      <c r="G36">
        <f>-(G23-F23)*'Cover &amp; Assumptions'!$C$66</f>
        <v>-0.52519131000000108</v>
      </c>
      <c r="H36">
        <f>-(H23-G23)*'Cover &amp; Assumptions'!$C$66</f>
        <v>-0.55145087550000083</v>
      </c>
    </row>
    <row r="37" spans="2:10" x14ac:dyDescent="0.2">
      <c r="B37" t="s">
        <v>126</v>
      </c>
      <c r="C37">
        <f t="shared" ref="C37:H37" si="5">C28</f>
        <v>0</v>
      </c>
      <c r="D37">
        <f t="shared" si="5"/>
        <v>-0.88400000000000012</v>
      </c>
      <c r="E37">
        <f t="shared" si="5"/>
        <v>-0.75061942188000008</v>
      </c>
      <c r="F37">
        <f t="shared" si="5"/>
        <v>-0.5759007854346242</v>
      </c>
      <c r="G37">
        <f t="shared" si="5"/>
        <v>-0.35411464423823402</v>
      </c>
      <c r="H37">
        <f t="shared" si="5"/>
        <v>-7.891765628396899E-2</v>
      </c>
    </row>
    <row r="38" spans="2:10" x14ac:dyDescent="0.2">
      <c r="B38" t="s">
        <v>127</v>
      </c>
      <c r="C38">
        <f t="shared" ref="C38:H38" si="6">C30</f>
        <v>-0.36996000000000007</v>
      </c>
      <c r="D38">
        <f t="shared" si="6"/>
        <v>-0.31505332800000002</v>
      </c>
      <c r="E38">
        <f t="shared" si="6"/>
        <v>-0.38642475817439997</v>
      </c>
      <c r="F38">
        <f t="shared" si="6"/>
        <v>-0.46724049810784524</v>
      </c>
      <c r="G38">
        <f t="shared" si="6"/>
        <v>-0.55849804124541191</v>
      </c>
      <c r="H38">
        <f t="shared" si="6"/>
        <v>-0.66128833513242391</v>
      </c>
    </row>
    <row r="39" spans="2:10" x14ac:dyDescent="0.2">
      <c r="B39" s="13" t="s">
        <v>128</v>
      </c>
      <c r="C39" s="13">
        <f t="shared" ref="C39:H39" si="7">C34+C35+C36+C37+C38</f>
        <v>2.4392040000000001</v>
      </c>
      <c r="D39" s="13">
        <f t="shared" si="7"/>
        <v>1.5691832720000001</v>
      </c>
      <c r="E39" s="13">
        <f t="shared" si="7"/>
        <v>2.055513369945599</v>
      </c>
      <c r="F39" s="13">
        <f t="shared" si="7"/>
        <v>2.6092487199575314</v>
      </c>
      <c r="G39" s="13">
        <f t="shared" si="7"/>
        <v>3.237611622991353</v>
      </c>
      <c r="H39" s="13">
        <f t="shared" si="7"/>
        <v>3.9485050775223582</v>
      </c>
    </row>
    <row r="41" spans="2:10" x14ac:dyDescent="0.2">
      <c r="B41" s="19" t="s">
        <v>129</v>
      </c>
      <c r="C41" s="20"/>
      <c r="D41" s="20"/>
      <c r="E41" s="20"/>
      <c r="F41" s="20"/>
      <c r="G41" s="20"/>
      <c r="H41" s="20"/>
      <c r="I41" s="20"/>
      <c r="J41" s="20"/>
    </row>
    <row r="42" spans="2:10" x14ac:dyDescent="0.2">
      <c r="B42" t="s">
        <v>107</v>
      </c>
      <c r="C42" s="15" t="s">
        <v>108</v>
      </c>
      <c r="D42" s="15" t="s">
        <v>109</v>
      </c>
      <c r="E42" s="15" t="s">
        <v>110</v>
      </c>
      <c r="F42" s="15" t="s">
        <v>111</v>
      </c>
      <c r="G42" s="15" t="s">
        <v>112</v>
      </c>
      <c r="H42" s="15" t="s">
        <v>113</v>
      </c>
    </row>
    <row r="43" spans="2:10" x14ac:dyDescent="0.2">
      <c r="B43" t="s">
        <v>130</v>
      </c>
      <c r="C43">
        <f>'Cover &amp; Assumptions'!$C$54</f>
        <v>10.4</v>
      </c>
      <c r="D43">
        <f>C43</f>
        <v>10.4</v>
      </c>
      <c r="E43">
        <f>D46</f>
        <v>8.8308167280000003</v>
      </c>
      <c r="F43">
        <f>E46</f>
        <v>6.7753033580544013</v>
      </c>
      <c r="G43">
        <f>F46</f>
        <v>4.1660546380968704</v>
      </c>
      <c r="H43">
        <f>G46</f>
        <v>0.92844301510551741</v>
      </c>
    </row>
    <row r="44" spans="2:10" x14ac:dyDescent="0.2">
      <c r="B44" t="s">
        <v>131</v>
      </c>
      <c r="C44" s="7">
        <f>'Cover &amp; Assumptions'!$C$68</f>
        <v>8.5000000000000006E-2</v>
      </c>
      <c r="D44" s="7">
        <f>'Cover &amp; Assumptions'!$C$68</f>
        <v>8.5000000000000006E-2</v>
      </c>
      <c r="E44" s="7">
        <f>'Cover &amp; Assumptions'!$C$68</f>
        <v>8.5000000000000006E-2</v>
      </c>
      <c r="F44" s="7">
        <f>'Cover &amp; Assumptions'!$C$68</f>
        <v>8.5000000000000006E-2</v>
      </c>
      <c r="G44" s="7">
        <f>'Cover &amp; Assumptions'!$C$68</f>
        <v>8.5000000000000006E-2</v>
      </c>
      <c r="H44" s="7">
        <f>'Cover &amp; Assumptions'!$C$68</f>
        <v>8.5000000000000006E-2</v>
      </c>
    </row>
    <row r="45" spans="2:10" x14ac:dyDescent="0.2">
      <c r="B45" t="s">
        <v>132</v>
      </c>
      <c r="C45">
        <v>0</v>
      </c>
      <c r="D45">
        <f>D43*D44</f>
        <v>0.88400000000000012</v>
      </c>
      <c r="E45">
        <f>E43*E44</f>
        <v>0.75061942188000008</v>
      </c>
      <c r="F45">
        <f>F43*F44</f>
        <v>0.5759007854346242</v>
      </c>
      <c r="G45">
        <f>G43*G44</f>
        <v>0.35411464423823402</v>
      </c>
      <c r="H45">
        <f>H43*H44</f>
        <v>7.891765628396899E-2</v>
      </c>
    </row>
    <row r="46" spans="2:10" x14ac:dyDescent="0.2">
      <c r="B46" t="s">
        <v>133</v>
      </c>
      <c r="C46">
        <f>'Cover &amp; Assumptions'!$C$54</f>
        <v>10.4</v>
      </c>
      <c r="D46">
        <f>MAX(0,D43-D47)</f>
        <v>8.8308167280000003</v>
      </c>
      <c r="E46">
        <f>MAX(0,E43-E47)</f>
        <v>6.7753033580544013</v>
      </c>
      <c r="F46">
        <f>MAX(0,F43-F47)</f>
        <v>4.1660546380968704</v>
      </c>
      <c r="G46">
        <f>MAX(0,G43-G47)</f>
        <v>0.92844301510551741</v>
      </c>
      <c r="H46">
        <f>MAX(0,H43-H47)</f>
        <v>0</v>
      </c>
    </row>
    <row r="47" spans="2:10" x14ac:dyDescent="0.2">
      <c r="B47" t="s">
        <v>80</v>
      </c>
      <c r="C47">
        <v>0</v>
      </c>
      <c r="D47">
        <f>MIN(D43,MAX(0,D39)*'Cover &amp; Assumptions'!$C$69)</f>
        <v>1.5691832720000001</v>
      </c>
      <c r="E47">
        <f>MIN(E43,MAX(0,E39)*'Cover &amp; Assumptions'!$C$69)</f>
        <v>2.055513369945599</v>
      </c>
      <c r="F47">
        <f>MIN(F43,MAX(0,F39)*'Cover &amp; Assumptions'!$C$69)</f>
        <v>2.6092487199575314</v>
      </c>
      <c r="G47">
        <f>MIN(G43,MAX(0,G39)*'Cover &amp; Assumptions'!$C$69)</f>
        <v>3.237611622991353</v>
      </c>
      <c r="H47">
        <f>MIN(H43,MAX(0,H39)*'Cover &amp; Assumptions'!$C$69)</f>
        <v>0.92844301510551741</v>
      </c>
    </row>
    <row r="49" spans="2:10" x14ac:dyDescent="0.2">
      <c r="B49" t="s">
        <v>134</v>
      </c>
      <c r="C49">
        <f>H46-'Cover &amp; Assumptions'!$C$70</f>
        <v>-2</v>
      </c>
    </row>
    <row r="51" spans="2:10" x14ac:dyDescent="0.2">
      <c r="B51" s="19" t="s">
        <v>178</v>
      </c>
      <c r="C51" s="20"/>
      <c r="D51" s="20"/>
      <c r="E51" s="20"/>
      <c r="F51" s="20"/>
      <c r="G51" s="20"/>
      <c r="H51" s="20"/>
      <c r="I51" s="20"/>
      <c r="J51" s="20"/>
    </row>
    <row r="52" spans="2:10" x14ac:dyDescent="0.2">
      <c r="B52" s="13" t="s">
        <v>135</v>
      </c>
    </row>
    <row r="53" spans="2:10" x14ac:dyDescent="0.2">
      <c r="B53" t="s">
        <v>136</v>
      </c>
      <c r="C53">
        <f>H25</f>
        <v>6.0797459023875016</v>
      </c>
    </row>
    <row r="54" spans="2:10" x14ac:dyDescent="0.2">
      <c r="B54" t="s">
        <v>137</v>
      </c>
      <c r="C54">
        <f>'Cover &amp; Assumptions'!$C$74</f>
        <v>9.5</v>
      </c>
    </row>
    <row r="55" spans="2:10" x14ac:dyDescent="0.2">
      <c r="B55" t="s">
        <v>138</v>
      </c>
      <c r="C55">
        <f>C53*C54</f>
        <v>57.757586072681264</v>
      </c>
    </row>
    <row r="56" spans="2:10" x14ac:dyDescent="0.2">
      <c r="B56" t="s">
        <v>139</v>
      </c>
      <c r="C56">
        <f>-C49</f>
        <v>2</v>
      </c>
    </row>
    <row r="57" spans="2:10" x14ac:dyDescent="0.2">
      <c r="B57" t="s">
        <v>140</v>
      </c>
      <c r="C57">
        <f>C55+C56</f>
        <v>59.757586072681264</v>
      </c>
    </row>
    <row r="59" spans="2:10" x14ac:dyDescent="0.2">
      <c r="B59" s="13" t="s">
        <v>141</v>
      </c>
    </row>
    <row r="60" spans="2:10" x14ac:dyDescent="0.2">
      <c r="B60" t="s">
        <v>142</v>
      </c>
      <c r="C60">
        <f>G15</f>
        <v>7.4230000000000018</v>
      </c>
    </row>
    <row r="61" spans="2:10" x14ac:dyDescent="0.2">
      <c r="B61" t="s">
        <v>143</v>
      </c>
      <c r="C61" s="7">
        <f>G17</f>
        <v>0.34649675582318074</v>
      </c>
    </row>
    <row r="62" spans="2:10" x14ac:dyDescent="0.2">
      <c r="B62" t="s">
        <v>144</v>
      </c>
      <c r="C62">
        <f>C57*C61</f>
        <v>20.705809710008545</v>
      </c>
    </row>
    <row r="63" spans="2:10" x14ac:dyDescent="0.2">
      <c r="B63" t="s">
        <v>145</v>
      </c>
      <c r="C63" s="16">
        <f>C62/C60</f>
        <v>2.7894125973337651</v>
      </c>
    </row>
    <row r="64" spans="2:10" x14ac:dyDescent="0.2">
      <c r="B64" t="s">
        <v>83</v>
      </c>
      <c r="C64">
        <f>'Cover &amp; Assumptions'!$C$73</f>
        <v>5</v>
      </c>
    </row>
    <row r="65" spans="2:10" x14ac:dyDescent="0.2">
      <c r="B65" t="s">
        <v>146</v>
      </c>
      <c r="C65" s="7">
        <f>(C63)^(1/C64)-1</f>
        <v>0.22772910519651024</v>
      </c>
    </row>
    <row r="67" spans="2:10" x14ac:dyDescent="0.2">
      <c r="B67" s="19" t="s">
        <v>147</v>
      </c>
      <c r="C67" s="20"/>
      <c r="D67" s="20"/>
      <c r="E67" s="20"/>
      <c r="F67" s="20"/>
      <c r="G67" s="20"/>
      <c r="H67" s="20"/>
      <c r="I67" s="20"/>
      <c r="J67" s="20"/>
    </row>
    <row r="68" spans="2:10" x14ac:dyDescent="0.2">
      <c r="B68" t="s">
        <v>148</v>
      </c>
      <c r="C68">
        <f>C60</f>
        <v>7.4230000000000018</v>
      </c>
    </row>
    <row r="69" spans="2:10" x14ac:dyDescent="0.2">
      <c r="B69" t="s">
        <v>149</v>
      </c>
      <c r="C69">
        <f>H25</f>
        <v>6.0797459023875016</v>
      </c>
    </row>
    <row r="70" spans="2:10" x14ac:dyDescent="0.2">
      <c r="B70" t="s">
        <v>150</v>
      </c>
      <c r="C70">
        <f>C49</f>
        <v>-2</v>
      </c>
    </row>
    <row r="71" spans="2:10" x14ac:dyDescent="0.2">
      <c r="B71" t="s">
        <v>143</v>
      </c>
      <c r="C71" s="7">
        <f>G17</f>
        <v>0.34649675582318074</v>
      </c>
    </row>
    <row r="73" spans="2:10" x14ac:dyDescent="0.2">
      <c r="B73" s="13" t="s">
        <v>179</v>
      </c>
    </row>
    <row r="74" spans="2:10" x14ac:dyDescent="0.2">
      <c r="B74" t="s">
        <v>151</v>
      </c>
      <c r="C74" s="17">
        <v>0.17</v>
      </c>
      <c r="D74" s="17">
        <v>0.19</v>
      </c>
      <c r="E74" s="17">
        <v>0.21</v>
      </c>
      <c r="F74" s="17">
        <v>0.23</v>
      </c>
      <c r="G74" s="17">
        <v>0.25</v>
      </c>
    </row>
    <row r="75" spans="2:10" x14ac:dyDescent="0.2">
      <c r="B75" s="13">
        <v>7</v>
      </c>
      <c r="C75" s="16">
        <f>((H23*0.17)*$B75-$C$70)*$C$71/$C$68</f>
        <v>1.701530758850885</v>
      </c>
      <c r="D75" s="16">
        <f>((H23*0.19)*$B75-$C$70)*$C$71/$C$68</f>
        <v>1.8907276003261684</v>
      </c>
      <c r="E75" s="16">
        <f>((H23*0.21)*$B75-$C$70)*$C$71/$C$68</f>
        <v>2.079924441801452</v>
      </c>
      <c r="F75" s="16">
        <f>((H23*0.23)*$B75-$C$70)*$C$71/$C$68</f>
        <v>2.2691212832767356</v>
      </c>
      <c r="G75" s="16">
        <f>((H23*0.25)*$B75-$C$70)*$C$71/$C$68</f>
        <v>2.4583181247520196</v>
      </c>
    </row>
    <row r="76" spans="2:10" x14ac:dyDescent="0.2">
      <c r="B76" s="13">
        <v>8.5</v>
      </c>
      <c r="C76" s="16">
        <f>((H23*0.17)*$B76-$C$70)*$C$71/$C$68</f>
        <v>2.0461392915380086</v>
      </c>
      <c r="D76" s="16">
        <f>((H23*0.19)*$B76-$C$70)*$C$71/$C$68</f>
        <v>2.2758783133294243</v>
      </c>
      <c r="E76" s="16">
        <f>((H23*0.21)*$B76-$C$70)*$C$71/$C$68</f>
        <v>2.50561733512084</v>
      </c>
      <c r="F76" s="16">
        <f>((H23*0.23)*$B76-$C$70)*$C$71/$C$68</f>
        <v>2.7353563569122561</v>
      </c>
      <c r="G76" s="16">
        <f>((H23*0.25)*$B76-$C$70)*$C$71/$C$68</f>
        <v>2.9650953787036718</v>
      </c>
    </row>
    <row r="77" spans="2:10" x14ac:dyDescent="0.2">
      <c r="B77" s="13">
        <v>9.5</v>
      </c>
      <c r="C77" s="16">
        <f>((H23*0.17)*$B77-$C$70)*$C$71/$C$68</f>
        <v>2.2758783133294247</v>
      </c>
      <c r="D77" s="16">
        <f>((H23*0.19)*$B77-$C$70)*$C$71/$C$68</f>
        <v>2.5326454553315951</v>
      </c>
      <c r="E77" s="16">
        <f>((H23*0.21)*$B77-$C$70)*$C$71/$C$68</f>
        <v>2.7894125973337651</v>
      </c>
      <c r="F77" s="16">
        <f>((H23*0.23)*$B77-$C$70)*$C$71/$C$68</f>
        <v>3.0461797393359364</v>
      </c>
      <c r="G77" s="16">
        <f>((H23*0.25)*$B77-$C$70)*$C$71/$C$68</f>
        <v>3.3029468813381069</v>
      </c>
    </row>
    <row r="78" spans="2:10" x14ac:dyDescent="0.2">
      <c r="B78" s="13">
        <v>10.5</v>
      </c>
      <c r="C78" s="16">
        <f>((H23*0.17)*$B78-$C$70)*$C$71/$C$68</f>
        <v>2.50561733512084</v>
      </c>
      <c r="D78" s="16">
        <f>((H23*0.19)*$B78-$C$70)*$C$71/$C$68</f>
        <v>2.7894125973337656</v>
      </c>
      <c r="E78" s="16">
        <f>((H23*0.21)*$B78-$C$70)*$C$71/$C$68</f>
        <v>3.0732078595466907</v>
      </c>
      <c r="F78" s="16">
        <f>((H23*0.23)*$B78-$C$70)*$C$71/$C$68</f>
        <v>3.3570031217596168</v>
      </c>
      <c r="G78" s="16">
        <f>((H23*0.25)*$B78-$C$70)*$C$71/$C$68</f>
        <v>3.640798383972542</v>
      </c>
    </row>
    <row r="79" spans="2:10" x14ac:dyDescent="0.2">
      <c r="B79" s="13">
        <v>12</v>
      </c>
      <c r="C79" s="16">
        <f>((H23*0.17)*$B79-$C$70)*$C$71/$C$68</f>
        <v>2.8502258678079642</v>
      </c>
      <c r="D79" s="16">
        <f>((H23*0.19)*$B79-$C$70)*$C$71/$C$68</f>
        <v>3.1745633103370219</v>
      </c>
      <c r="E79" s="16">
        <f>((H23*0.21)*$B79-$C$70)*$C$71/$C$68</f>
        <v>3.4989007528660792</v>
      </c>
      <c r="F79" s="16">
        <f>((H23*0.23)*$B79-$C$70)*$C$71/$C$68</f>
        <v>3.8232381953951369</v>
      </c>
      <c r="G79" s="16">
        <f>((H23*0.25)*$B79-$C$70)*$C$71/$C$68</f>
        <v>4.1475756379241941</v>
      </c>
    </row>
    <row r="81" spans="2:7" x14ac:dyDescent="0.2">
      <c r="B81" s="13" t="s">
        <v>180</v>
      </c>
    </row>
    <row r="82" spans="2:7" x14ac:dyDescent="0.2">
      <c r="B82" t="s">
        <v>152</v>
      </c>
      <c r="C82" s="13">
        <v>7</v>
      </c>
      <c r="D82" s="13">
        <v>8.5</v>
      </c>
      <c r="E82" s="13">
        <v>9.5</v>
      </c>
      <c r="F82" s="13">
        <v>10.5</v>
      </c>
      <c r="G82" s="13">
        <v>12</v>
      </c>
    </row>
    <row r="83" spans="2:7" x14ac:dyDescent="0.2">
      <c r="B83" s="18">
        <v>0.02</v>
      </c>
      <c r="C83" s="7">
        <f>(((('Cover &amp; Assumptions'!$C$29*(1+$B83)^5)*'Cover &amp; Assumptions'!$C$63*7-$C$70)*$C$71/$C$68)^(1/5))-1</f>
        <v>0.12622802931264387</v>
      </c>
      <c r="D83" s="7">
        <f>(((('Cover &amp; Assumptions'!$C$29*(1+$B83)^5)*'Cover &amp; Assumptions'!$C$63*8.5-$C$70)*$C$71/$C$68)^(1/5))-1</f>
        <v>0.16868405571697331</v>
      </c>
      <c r="E83" s="7">
        <f>(((('Cover &amp; Assumptions'!$C$29*(1+$B83)^5)*'Cover &amp; Assumptions'!$C$63*9.5-$C$70)*$C$71/$C$68)^(1/5))-1</f>
        <v>0.1938936686855941</v>
      </c>
      <c r="F83" s="7">
        <f>(((('Cover &amp; Assumptions'!$C$29*(1+$B83)^5)*'Cover &amp; Assumptions'!$C$63*10.5-$C$70)*$C$71/$C$68)^(1/5))-1</f>
        <v>0.21713800214446244</v>
      </c>
      <c r="G83" s="7">
        <f>(((('Cover &amp; Assumptions'!$C$29*(1+$B83)^5)*'Cover &amp; Assumptions'!$C$63*12-$C$70)*$C$71/$C$68)^(1/5))-1</f>
        <v>0.24898698453113344</v>
      </c>
    </row>
    <row r="84" spans="2:7" x14ac:dyDescent="0.2">
      <c r="B84" s="18">
        <v>3.5000000000000003E-2</v>
      </c>
      <c r="C84" s="7">
        <f>(((('Cover &amp; Assumptions'!$C$29*(1+$B84)^5)*'Cover &amp; Assumptions'!$C$63*7-$C$70)*$C$71/$C$68)^(1/5))-1</f>
        <v>0.14196001398790936</v>
      </c>
      <c r="D84" s="7">
        <f>(((('Cover &amp; Assumptions'!$C$29*(1+$B84)^5)*'Cover &amp; Assumptions'!$C$63*8.5-$C$70)*$C$71/$C$68)^(1/5))-1</f>
        <v>0.18515479071686736</v>
      </c>
      <c r="E84" s="7">
        <f>(((('Cover &amp; Assumptions'!$C$29*(1+$B84)^5)*'Cover &amp; Assumptions'!$C$63*9.5-$C$70)*$C$71/$C$68)^(1/5))-1</f>
        <v>0.21079378298765472</v>
      </c>
      <c r="F84" s="7">
        <f>(((('Cover &amp; Assumptions'!$C$29*(1+$B84)^5)*'Cover &amp; Assumptions'!$C$63*10.5-$C$70)*$C$71/$C$68)^(1/5))-1</f>
        <v>0.23442878522531951</v>
      </c>
      <c r="G84" s="7">
        <f>(((('Cover &amp; Assumptions'!$C$29*(1+$B84)^5)*'Cover &amp; Assumptions'!$C$63*12-$C$70)*$C$71/$C$68)^(1/5))-1</f>
        <v>0.26680591410919274</v>
      </c>
    </row>
    <row r="85" spans="2:7" x14ac:dyDescent="0.2">
      <c r="B85" s="18">
        <v>0.05</v>
      </c>
      <c r="C85" s="7">
        <f>(((('Cover &amp; Assumptions'!$C$29*(1+$B85)^5)*'Cover &amp; Assumptions'!$C$63*7-$C$70)*$C$71/$C$68)^(1/5))-1</f>
        <v>0.15773592997355079</v>
      </c>
      <c r="D85" s="7">
        <f>(((('Cover &amp; Assumptions'!$C$29*(1+$B85)^5)*'Cover &amp; Assumptions'!$C$63*8.5-$C$70)*$C$71/$C$68)^(1/5))-1</f>
        <v>0.20166371898127156</v>
      </c>
      <c r="E85" s="7">
        <f>(((('Cover &amp; Assumptions'!$C$29*(1+$B85)^5)*'Cover &amp; Assumptions'!$C$63*9.5-$C$70)*$C$71/$C$68)^(1/5))-1</f>
        <v>0.22772910519651024</v>
      </c>
      <c r="F85" s="7">
        <f>(((('Cover &amp; Assumptions'!$C$29*(1+$B85)^5)*'Cover &amp; Assumptions'!$C$63*10.5-$C$70)*$C$71/$C$68)^(1/5))-1</f>
        <v>0.25175226825208386</v>
      </c>
      <c r="G85" s="7">
        <f>(((('Cover &amp; Assumptions'!$C$29*(1+$B85)^5)*'Cover &amp; Assumptions'!$C$63*12-$C$70)*$C$71/$C$68)^(1/5))-1</f>
        <v>0.28465444747257251</v>
      </c>
    </row>
    <row r="86" spans="2:7" x14ac:dyDescent="0.2">
      <c r="B86" s="18">
        <v>6.5000000000000002E-2</v>
      </c>
      <c r="C86" s="7">
        <f>(((('Cover &amp; Assumptions'!$C$29*(1+$B86)^5)*'Cover &amp; Assumptions'!$C$63*7-$C$70)*$C$71/$C$68)^(1/5))-1</f>
        <v>0.17355238650350091</v>
      </c>
      <c r="D86" s="7">
        <f>(((('Cover &amp; Assumptions'!$C$29*(1+$B86)^5)*'Cover &amp; Assumptions'!$C$63*8.5-$C$70)*$C$71/$C$68)^(1/5))-1</f>
        <v>0.21820785660093134</v>
      </c>
      <c r="E86" s="7">
        <f>(((('Cover &amp; Assumptions'!$C$29*(1+$B86)^5)*'Cover &amp; Assumptions'!$C$63*9.5-$C$70)*$C$71/$C$68)^(1/5))-1</f>
        <v>0.24469686813534897</v>
      </c>
      <c r="F86" s="7">
        <f>(((('Cover &amp; Assumptions'!$C$29*(1+$B86)^5)*'Cover &amp; Assumptions'!$C$63*10.5-$C$70)*$C$71/$C$68)^(1/5))-1</f>
        <v>0.26910586866724828</v>
      </c>
      <c r="G86" s="7">
        <f>(((('Cover &amp; Assumptions'!$C$29*(1+$B86)^5)*'Cover &amp; Assumptions'!$C$63*12-$C$70)*$C$71/$C$68)^(1/5))-1</f>
        <v>0.30253023306600113</v>
      </c>
    </row>
    <row r="87" spans="2:7" x14ac:dyDescent="0.2">
      <c r="B87" s="18">
        <v>0.08</v>
      </c>
      <c r="C87" s="7">
        <f>(((('Cover &amp; Assumptions'!$C$29*(1+$B87)^5)*'Cover &amp; Assumptions'!$C$63*7-$C$70)*$C$71/$C$68)^(1/5))-1</f>
        <v>0.18940628250811065</v>
      </c>
      <c r="D87" s="7">
        <f>(((('Cover &amp; Assumptions'!$C$29*(1+$B87)^5)*'Cover &amp; Assumptions'!$C$63*8.5-$C$70)*$C$71/$C$68)^(1/5))-1</f>
        <v>0.23478447962022098</v>
      </c>
      <c r="E87" s="7">
        <f>(((('Cover &amp; Assumptions'!$C$29*(1+$B87)^5)*'Cover &amp; Assumptions'!$C$63*9.5-$C$70)*$C$71/$C$68)^(1/5))-1</f>
        <v>0.26169454800276148</v>
      </c>
      <c r="F87" s="7">
        <f>(((('Cover &amp; Assumptions'!$C$29*(1+$B87)^5)*'Cover &amp; Assumptions'!$C$63*10.5-$C$70)*$C$71/$C$68)^(1/5))-1</f>
        <v>0.28648723279931643</v>
      </c>
      <c r="G87" s="7">
        <f>(((('Cover &amp; Assumptions'!$C$29*(1+$B87)^5)*'Cover &amp; Assumptions'!$C$63*12-$C$70)*$C$71/$C$68)^(1/5))-1</f>
        <v>0.3204311296456448</v>
      </c>
    </row>
    <row r="89" spans="2:7" x14ac:dyDescent="0.2">
      <c r="B89" s="10" t="s">
        <v>153</v>
      </c>
    </row>
    <row r="90" spans="2:7" x14ac:dyDescent="0.2">
      <c r="B90" t="s">
        <v>182</v>
      </c>
    </row>
    <row r="91" spans="2:7" x14ac:dyDescent="0.2">
      <c r="B91" t="s">
        <v>181</v>
      </c>
    </row>
    <row r="92" spans="2:7" x14ac:dyDescent="0.2">
      <c r="B92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&amp; Assumptions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Kumbhar</cp:lastModifiedBy>
  <cp:revision>0</cp:revision>
  <dcterms:created xsi:type="dcterms:W3CDTF">2026-05-27T20:13:09Z</dcterms:created>
  <dcterms:modified xsi:type="dcterms:W3CDTF">2026-05-28T22:19:01Z</dcterms:modified>
  <dc:language>en-US</dc:language>
</cp:coreProperties>
</file>